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NIK\Desktop\PYTHO CLASS\python\DA SERIES\"/>
    </mc:Choice>
  </mc:AlternateContent>
  <xr:revisionPtr revIDLastSave="0" documentId="13_ncr:1_{59EFE130-6BEF-4DD5-8724-25FFB43E13D0}" xr6:coauthVersionLast="47" xr6:coauthVersionMax="47" xr10:uidLastSave="{00000000-0000-0000-0000-000000000000}"/>
  <bookViews>
    <workbookView xWindow="-120" yWindow="-120" windowWidth="20730" windowHeight="11040" activeTab="1" xr2:uid="{00000000-000D-0000-FFFF-FFFF00000000}"/>
  </bookViews>
  <sheets>
    <sheet name="Data" sheetId="1" r:id="rId1"/>
    <sheet name="Pivot Table" sheetId="4" r:id="rId2"/>
    <sheet name="Dashboard" sheetId="8" r:id="rId3"/>
    <sheet name="Take-Away" sheetId="13" r:id="rId4"/>
    <sheet name="New Data" sheetId="2" r:id="rId5"/>
  </sheets>
  <definedNames>
    <definedName name="Slicer_Country">#N/A</definedName>
    <definedName name="Slicer_Year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7" i="4" l="1"/>
  <c r="K49" i="4"/>
  <c r="H2" i="4" l="1"/>
  <c r="I2" i="4" s="1"/>
  <c r="J5" i="4" s="1"/>
  <c r="H5" i="4"/>
  <c r="F5" i="4"/>
  <c r="D5" i="4"/>
</calcChain>
</file>

<file path=xl/sharedStrings.xml><?xml version="1.0" encoding="utf-8"?>
<sst xmlns="http://schemas.openxmlformats.org/spreadsheetml/2006/main" count="2563" uniqueCount="57">
  <si>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</si>
  <si>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</si>
  <si>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</si>
  <si>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</si>
  <si>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</si>
  <si>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</si>
  <si>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</si>
  <si>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</si>
  <si>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</si>
  <si>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</si>
  <si>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</si>
  <si>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</si>
  <si>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</si>
  <si>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</si>
  <si>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</si>
  <si>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</si>
  <si>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</si>
  <si>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</si>
  <si>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</si>
  <si>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</si>
  <si>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</si>
  <si>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</si>
  <si>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</si>
  <si>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</si>
  <si>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Grand Total</t>
  </si>
  <si>
    <t>Row Labels</t>
  </si>
  <si>
    <t>Sum of Profit</t>
  </si>
  <si>
    <t>Sum of Revenue</t>
  </si>
  <si>
    <t>Jan</t>
  </si>
  <si>
    <t>Feb</t>
  </si>
  <si>
    <t>Mar</t>
  </si>
  <si>
    <t>Apr</t>
  </si>
  <si>
    <t>May</t>
  </si>
  <si>
    <t>Jun</t>
  </si>
  <si>
    <t>Jul</t>
  </si>
  <si>
    <t>Aug</t>
  </si>
  <si>
    <t>Sep</t>
  </si>
  <si>
    <t>Oct</t>
  </si>
  <si>
    <t>Nov</t>
  </si>
  <si>
    <t>Dec</t>
  </si>
  <si>
    <t>Profit by Country</t>
  </si>
  <si>
    <t>2024</t>
  </si>
  <si>
    <t>2025</t>
  </si>
  <si>
    <t>2026</t>
  </si>
  <si>
    <t>Revenue by Country &amp; Product</t>
  </si>
  <si>
    <t>Products</t>
  </si>
  <si>
    <t>Sum of Units Sold</t>
  </si>
  <si>
    <t>Unit Sold by Product</t>
  </si>
  <si>
    <t>Monthly Sales Trend</t>
  </si>
  <si>
    <t>Total Cost</t>
  </si>
  <si>
    <t>Total Unit Sold</t>
  </si>
  <si>
    <t xml:space="preserve">Total Revenue  </t>
  </si>
  <si>
    <t>Profit Margin</t>
  </si>
  <si>
    <t xml:space="preserve">                                         Pivot Tables - Showing Summaries of Data</t>
  </si>
  <si>
    <t>Year with High Revenue</t>
  </si>
  <si>
    <t>Top Performing Country</t>
  </si>
  <si>
    <t>Profit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</si>
</sst>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468]\ * #,##0_-;\-[$₦-468]\ * #,##0_-;_-[$₦-468]\ * &quot;-&quot;_-;_-@_-"/>
  </numFmts>
  <fonts count="7" x14ac:knownFonts="1">
    <font>
      <sz val="11"/>
      <color theme="1"/>
      <name val="Tw Cen MT"/>
      <family val="2"/>
      <scheme val="minor"/>
    </font>
    <font>
      <sz val="11"/>
      <name val="Calibri"/>
      <family val="2"/>
    </font>
    <font>
      <b/>
      <sz val="11"/>
      <color theme="1"/>
      <name val="Tw Cen MT"/>
      <family val="2"/>
      <scheme val="minor"/>
    </font>
    <font>
      <sz val="11"/>
      <color theme="1"/>
      <name val="Tw Cen MT"/>
      <family val="2"/>
      <scheme val="minor"/>
    </font>
    <font>
      <sz val="11"/>
      <color theme="0"/>
      <name val="Tw Cen MT"/>
      <family val="2"/>
      <scheme val="minor"/>
    </font>
    <font>
      <sz val="14"/>
      <color theme="0"/>
      <name val="Arial Black"/>
      <family val="2"/>
    </font>
    <font>
      <b/>
      <sz val="14"/>
      <color theme="0"/>
      <name val="Tw Cen MT"/>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249977111117893"/>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3" fillId="0" borderId="0" applyFont="0" applyFill="0" applyBorder="0" applyAlignment="0" applyProtection="0"/>
  </cellStyleXfs>
  <cellXfs count="32">
    <xf numFmtId="0" fontId="0" fillId="0" borderId="0" xfId="0"/>
    <xf numFmtId="14" fontId="0" fillId="0" borderId="0" xfId="0" applyNumberFormat="1"/>
    <xf numFmtId="0" fontId="1" fillId="0" borderId="0" xfId="0" applyFont="1" applyBorder="1" applyAlignment="1">
      <alignment horizontal="center" vertical="top"/>
    </xf>
    <xf numFmtId="14" fontId="1" fillId="0" borderId="0" xfId="0" applyNumberFormat="1" applyFont="1" applyBorder="1" applyAlignment="1">
      <alignment horizontal="center" vertical="top"/>
    </xf>
    <xf numFmtId="44" fontId="0" fillId="0" borderId="0" xfId="1" applyFont="1"/>
    <xf numFmtId="0" fontId="0" fillId="4" borderId="0" xfId="0" applyFill="1"/>
    <xf numFmtId="164" fontId="0" fillId="0" borderId="0" xfId="0" applyNumberFormat="1"/>
    <xf numFmtId="164" fontId="0" fillId="0" borderId="0" xfId="0" pivotButton="1" applyNumberFormat="1"/>
    <xf numFmtId="164" fontId="0" fillId="0" borderId="0" xfId="0" applyNumberFormat="1" applyAlignment="1">
      <alignment horizontal="left"/>
    </xf>
    <xf numFmtId="164" fontId="6" fillId="5" borderId="0" xfId="0" applyNumberFormat="1" applyFont="1" applyFill="1"/>
    <xf numFmtId="164" fontId="2" fillId="2" borderId="0" xfId="0" applyNumberFormat="1" applyFont="1" applyFill="1" applyAlignment="1"/>
    <xf numFmtId="164" fontId="0" fillId="2" borderId="0" xfId="0" applyNumberFormat="1" applyFill="1"/>
    <xf numFmtId="0" fontId="6" fillId="5" borderId="0" xfId="0" applyNumberFormat="1" applyFont="1" applyFill="1"/>
    <xf numFmtId="10" fontId="0" fillId="0" borderId="0" xfId="0" applyNumberFormat="1"/>
    <xf numFmtId="10" fontId="0" fillId="5" borderId="0" xfId="0" applyNumberFormat="1" applyFill="1"/>
    <xf numFmtId="164" fontId="0" fillId="5" borderId="0" xfId="0" applyNumberFormat="1" applyFill="1" applyAlignment="1">
      <alignment horizontal="left"/>
    </xf>
    <xf numFmtId="0" fontId="0" fillId="5" borderId="0" xfId="0" applyFill="1"/>
    <xf numFmtId="164" fontId="2" fillId="2" borderId="0" xfId="0" applyNumberFormat="1" applyFont="1" applyFill="1" applyAlignment="1">
      <alignment horizontal="center"/>
    </xf>
    <xf numFmtId="164" fontId="2" fillId="0" borderId="0" xfId="0" applyNumberFormat="1" applyFont="1" applyFill="1" applyAlignment="1">
      <alignment horizontal="center"/>
    </xf>
    <xf numFmtId="43" fontId="0" fillId="0" borderId="0" xfId="0" applyNumberFormat="1"/>
    <xf numFmtId="164" fontId="5" fillId="3" borderId="0" xfId="0" applyNumberFormat="1" applyFont="1" applyFill="1" applyAlignment="1">
      <alignment horizontal="center"/>
    </xf>
    <xf numFmtId="164" fontId="4" fillId="3" borderId="0" xfId="0" applyNumberFormat="1" applyFont="1" applyFill="1" applyAlignment="1">
      <alignment horizontal="center"/>
    </xf>
    <xf numFmtId="164" fontId="2" fillId="2" borderId="0" xfId="0" applyNumberFormat="1" applyFont="1" applyFill="1" applyAlignment="1">
      <alignment horizontal="center"/>
    </xf>
    <xf numFmtId="164" fontId="0" fillId="0" borderId="1" xfId="0" applyNumberFormat="1" applyBorder="1"/>
    <xf numFmtId="164" fontId="0" fillId="0" borderId="2" xfId="0" applyNumberFormat="1" applyBorder="1"/>
    <xf numFmtId="164" fontId="0" fillId="0" borderId="3" xfId="0" applyNumberFormat="1" applyBorder="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cellXfs>
  <cellStyles count="2">
    <cellStyle name="Currency" xfId="1" builtinId="4"/>
    <cellStyle name="Normal" xfId="0" builtinId="0"/>
  </cellStyles>
  <dxfs count="60">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fill>
        <patternFill>
          <bgColor auto="1"/>
        </patternFill>
      </fill>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fill>
        <patternFill>
          <bgColor auto="1"/>
        </patternFill>
      </fill>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35" formatCode="_(* #,##0.00_);_(* \(#,##0.00\);_(*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64" formatCode="_-[$₦-468]\ * #,##0_-;\-[$₦-468]\ * #,##0_-;_-[$₦-468]\ * &quot;-&quot;_-;_-@_-"/>
    </dxf>
    <dxf>
      <numFmt numFmtId="19" formatCode="m/d/yyyy"/>
    </dxf>
    <dxf>
      <fill>
        <gradientFill degree="90">
          <stop position="0">
            <color theme="0"/>
          </stop>
          <stop position="0.5">
            <color theme="4"/>
          </stop>
          <stop position="1">
            <color theme="0"/>
          </stop>
        </gradientFill>
      </fill>
    </dxf>
    <dxf>
      <font>
        <color theme="4" tint="-0.24994659260841701"/>
      </font>
      <fill>
        <patternFill patternType="none">
          <fgColor auto="1"/>
          <bgColor auto="1"/>
        </patternFill>
      </fill>
      <border diagonalUp="0" diagonalDown="0">
        <left style="thin">
          <color auto="1"/>
        </left>
        <right style="thin">
          <color auto="1"/>
        </right>
        <top style="thin">
          <color auto="1"/>
        </top>
        <bottom style="thin">
          <color auto="1"/>
        </bottom>
        <vertical/>
        <horizontal/>
      </border>
    </dxf>
  </dxfs>
  <tableStyles count="3" defaultTableStyle="TableStyleMedium9" defaultPivotStyle="PivotStyleLight16">
    <tableStyle name="no colour" pivot="0" table="0" count="1" xr9:uid="{913AD5D3-3973-46DB-987C-025BFD81C3B8}">
      <tableStyleElement type="wholeTable" dxfId="59"/>
    </tableStyle>
    <tableStyle name="Slicer Style 1" pivot="0" table="0" count="1" xr9:uid="{BFC490C4-8FF5-4147-BE83-288FC13F33A5}">
      <tableStyleElement type="wholeTable" dxfId="58"/>
    </tableStyle>
    <tableStyle name="Slicer Style 1 2" pivot="0" table="0" count="0" xr9:uid="{639C1D6A-3B9A-44D4-B1FA-F892A93A022B}"/>
  </tableStyles>
  <colors>
    <mruColors>
      <color rgb="FF17365D"/>
      <color rgb="FF16A085"/>
      <color rgb="FFE5F5EF"/>
      <color rgb="FFFFFFFF"/>
      <color rgb="FFEAF1F8"/>
      <color rgb="FFFFCC66"/>
      <color rgb="FFA8E2EA"/>
    </mruColors>
  </colors>
  <extLst>
    <ext xmlns:x14="http://schemas.microsoft.com/office/spreadsheetml/2009/9/main" uri="{EB79DEF2-80B8-43e5-95BD-54CBDDF9020C}">
      <x14:slicerStyles defaultSlicerStyle="SlicerStyleLight1">
        <x14:slicerStyle name="no colour"/>
        <x14:slicerStyle name="Slicer Style 1"/>
        <x14:slicerStyle name="Slicer Style 1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[AfriMart_KollyBright_Sales_Dataset.xlsx]Pivot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 Sales Performance </a:t>
            </a:r>
          </a:p>
        </c:rich>
      </c:tx>
      <c:layout>
        <c:manualLayout>
          <c:xMode val="edge"/>
          <c:yMode val="edge"/>
          <c:x val="0.27975175516853495"/>
          <c:y val="2.8735632183908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Table'!$F$8</c:f>
              <c:strCache>
                <c:ptCount val="1"/>
                <c:pt idx="0">
                  <c:v>Sum of Revenue</c:v>
                </c:pt>
              </c:strCache>
            </c:strRef>
          </c:tx>
          <c:spPr>
            <a:solidFill>
              <a:schemeClr val="accent1"/>
            </a:solidFill>
            <a:ln>
              <a:noFill/>
            </a:ln>
            <a:effectLst/>
          </c:spPr>
          <c:cat>
            <c:strRef>
              <c:f>'Pivot Table'!$E$9:$E$21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Table'!$F$9:$F$21</c:f>
              <c:numCache>
                <c:formatCode>_-[$₦-468]\ * #,##0_-;\-[$₦-468]\ * #,##0_-;_-[$₦-468]\ * "-"_-;_-@_-</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8288-46E5-B3B9-25040A702A7A}"/>
            </c:ext>
          </c:extLst>
        </c:ser>
        <c:ser>
          <c:idx val="1"/>
          <c:order val="1"/>
          <c:tx>
            <c:strRef>
              <c:f>'Pivot Table'!$G$8</c:f>
              <c:strCache>
                <c:ptCount val="1"/>
                <c:pt idx="0">
                  <c:v>Sum of Units Sold</c:v>
                </c:pt>
              </c:strCache>
            </c:strRef>
          </c:tx>
          <c:spPr>
            <a:solidFill>
              <a:schemeClr val="accent2"/>
            </a:solidFill>
            <a:ln>
              <a:noFill/>
            </a:ln>
            <a:effectLst/>
          </c:spPr>
          <c:cat>
            <c:strRef>
              <c:f>'Pivot Table'!$E$9:$E$21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Table'!$G$9:$G$21</c:f>
              <c:numCache>
                <c:formatCode>_-[$₦-468]\ * #,##0_-;\-[$₦-468]\ * #,##0_-;_-[$₦-468]\ * "-"_-;_-@_-</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extLst>
            <c:ext xmlns:c16="http://schemas.microsoft.com/office/drawing/2014/chart" uri="{C3380CC4-5D6E-409C-BE32-E72D297353CC}">
              <c16:uniqueId val="{00000001-8288-46E5-B3B9-25040A702A7A}"/>
            </c:ext>
          </c:extLst>
        </c:ser>
        <c:dLbls>
          <c:showLegendKey val="0"/>
          <c:showVal val="0"/>
          <c:showCatName val="0"/>
          <c:showSerName val="0"/>
          <c:showPercent val="0"/>
          <c:showBubbleSize val="0"/>
        </c:dLbls>
        <c:axId val="1065727312"/>
        <c:axId val="1065735632"/>
      </c:areaChart>
      <c:catAx>
        <c:axId val="106572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735632"/>
        <c:crosses val="autoZero"/>
        <c:auto val="1"/>
        <c:lblAlgn val="ctr"/>
        <c:lblOffset val="100"/>
        <c:noMultiLvlLbl val="0"/>
      </c:catAx>
      <c:valAx>
        <c:axId val="1065735632"/>
        <c:scaling>
          <c:orientation val="minMax"/>
        </c:scaling>
        <c:delete val="0"/>
        <c:axPos val="l"/>
        <c:numFmt formatCode="[$₦-468]\ #,##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7273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chemeClr val="tx2">
              <a:lumMod val="60000"/>
              <a:lumOff val="40000"/>
            </a:schemeClr>
          </a:solidFill>
          <a:ln>
            <a:noFill/>
          </a:ln>
          <a:effectLst/>
        </c:spPr>
      </c:pivotFmt>
      <c:pivotFmt>
        <c:idx val="7"/>
        <c:spPr>
          <a:solidFill>
            <a:schemeClr val="tx2">
              <a:lumMod val="60000"/>
              <a:lumOff val="40000"/>
            </a:schemeClr>
          </a:solidFill>
          <a:ln>
            <a:noFill/>
          </a:ln>
          <a:effectLst/>
        </c:spPr>
      </c:pivotFmt>
      <c:pivotFmt>
        <c:idx val="8"/>
        <c:spPr>
          <a:solidFill>
            <a:schemeClr val="tx2">
              <a:lumMod val="60000"/>
              <a:lumOff val="40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60000"/>
              <a:lumOff val="40000"/>
            </a:schemeClr>
          </a:solidFill>
          <a:ln>
            <a:noFill/>
          </a:ln>
          <a:effectLst/>
        </c:spPr>
      </c:pivotFmt>
      <c:pivotFmt>
        <c:idx val="11"/>
        <c:spPr>
          <a:solidFill>
            <a:schemeClr val="tx2">
              <a:lumMod val="60000"/>
              <a:lumOff val="40000"/>
            </a:schemeClr>
          </a:solidFill>
          <a:ln>
            <a:noFill/>
          </a:ln>
          <a:effectLst/>
        </c:spPr>
      </c:pivotFmt>
      <c:pivotFmt>
        <c:idx val="12"/>
        <c:spPr>
          <a:solidFill>
            <a:schemeClr val="tx2">
              <a:lumMod val="60000"/>
              <a:lumOff val="40000"/>
            </a:schemeClr>
          </a:solidFill>
          <a:ln>
            <a:noFill/>
          </a:ln>
          <a:effectLst/>
        </c:spPr>
      </c:pivotFmt>
    </c:pivotFmts>
    <c:plotArea>
      <c:layout/>
      <c:barChart>
        <c:barDir val="col"/>
        <c:grouping val="clustered"/>
        <c:varyColors val="0"/>
        <c:ser>
          <c:idx val="0"/>
          <c:order val="0"/>
          <c:tx>
            <c:strRef>
              <c:f>'Pivot Table'!$C$8</c:f>
              <c:strCache>
                <c:ptCount val="1"/>
                <c:pt idx="0">
                  <c:v>Total</c:v>
                </c:pt>
              </c:strCache>
            </c:strRef>
          </c:tx>
          <c:spPr>
            <a:solidFill>
              <a:schemeClr val="tx2">
                <a:lumMod val="60000"/>
                <a:lumOff val="40000"/>
              </a:schemeClr>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FDE3-40DB-8C3A-4455A6276AD6}"/>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8-FDE3-40DB-8C3A-4455A6276AD6}"/>
              </c:ext>
            </c:extLst>
          </c:dPt>
          <c:dPt>
            <c:idx val="4"/>
            <c:invertIfNegative val="0"/>
            <c:bubble3D val="0"/>
            <c:spPr>
              <a:solidFill>
                <a:srgbClr val="00B050"/>
              </a:solidFill>
              <a:ln>
                <a:noFill/>
              </a:ln>
              <a:effectLst/>
            </c:spPr>
            <c:extLst>
              <c:ext xmlns:c16="http://schemas.microsoft.com/office/drawing/2014/chart" uri="{C3380CC4-5D6E-409C-BE32-E72D297353CC}">
                <c16:uniqueId val="{00000002-FDE3-40DB-8C3A-4455A6276AD6}"/>
              </c:ext>
            </c:extLst>
          </c:dPt>
          <c:dPt>
            <c:idx val="6"/>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FDE3-40DB-8C3A-4455A6276AD6}"/>
              </c:ext>
            </c:extLst>
          </c:dPt>
          <c:dPt>
            <c:idx val="7"/>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9-FDE3-40DB-8C3A-4455A6276AD6}"/>
              </c:ext>
            </c:extLst>
          </c:dPt>
          <c:dPt>
            <c:idx val="8"/>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6-FDE3-40DB-8C3A-4455A6276AD6}"/>
              </c:ext>
            </c:extLst>
          </c:dPt>
          <c:cat>
            <c:strRef>
              <c:f>'Pivot Table'!$B$9:$B$19</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Table'!$C$9:$C$19</c:f>
              <c:numCache>
                <c:formatCode>_-[$₦-468]\ * #,##0_-;\-[$₦-468]\ * #,##0_-;_-[$₦-468]\ * "-"_-;_-@_-</c:formatCode>
                <c:ptCount val="10"/>
                <c:pt idx="0">
                  <c:v>237371300</c:v>
                </c:pt>
                <c:pt idx="1">
                  <c:v>181420300</c:v>
                </c:pt>
                <c:pt idx="2">
                  <c:v>194985300</c:v>
                </c:pt>
                <c:pt idx="3">
                  <c:v>229987650</c:v>
                </c:pt>
                <c:pt idx="4">
                  <c:v>302613800</c:v>
                </c:pt>
                <c:pt idx="5">
                  <c:v>225940050</c:v>
                </c:pt>
                <c:pt idx="6">
                  <c:v>147821550</c:v>
                </c:pt>
                <c:pt idx="7">
                  <c:v>164997350</c:v>
                </c:pt>
                <c:pt idx="8">
                  <c:v>237119250</c:v>
                </c:pt>
                <c:pt idx="9">
                  <c:v>177112700</c:v>
                </c:pt>
              </c:numCache>
            </c:numRef>
          </c:val>
          <c:extLst>
            <c:ext xmlns:c16="http://schemas.microsoft.com/office/drawing/2014/chart" uri="{C3380CC4-5D6E-409C-BE32-E72D297353CC}">
              <c16:uniqueId val="{00000000-FDE3-40DB-8C3A-4455A6276AD6}"/>
            </c:ext>
          </c:extLst>
        </c:ser>
        <c:dLbls>
          <c:showLegendKey val="0"/>
          <c:showVal val="0"/>
          <c:showCatName val="0"/>
          <c:showSerName val="0"/>
          <c:showPercent val="0"/>
          <c:showBubbleSize val="0"/>
        </c:dLbls>
        <c:gapWidth val="219"/>
        <c:overlap val="-27"/>
        <c:axId val="1011673263"/>
        <c:axId val="1011654543"/>
      </c:barChart>
      <c:catAx>
        <c:axId val="101167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1654543"/>
        <c:crosses val="autoZero"/>
        <c:auto val="1"/>
        <c:lblAlgn val="ctr"/>
        <c:lblOffset val="100"/>
        <c:noMultiLvlLbl val="0"/>
      </c:catAx>
      <c:valAx>
        <c:axId val="1011654543"/>
        <c:scaling>
          <c:orientation val="minMax"/>
        </c:scaling>
        <c:delete val="0"/>
        <c:axPos val="l"/>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167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[AfriMart_KollyBright_Sales_Dataset.xlsx]Pivot Table!PivotTable11</c:name>
    <c:fmtId val="2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Profit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Table'!$J$20</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strRef>
              <c:f>'Pivot Table'!$I$21:$I$24</c:f>
              <c:strCache>
                <c:ptCount val="3"/>
                <c:pt idx="0">
                  <c:v>2024</c:v>
                </c:pt>
                <c:pt idx="1">
                  <c:v>2025</c:v>
                </c:pt>
                <c:pt idx="2">
                  <c:v>2026</c:v>
                </c:pt>
              </c:strCache>
            </c:strRef>
          </c:cat>
          <c:val>
            <c:numRef>
              <c:f>'Pivot Table'!$J$21:$J$24</c:f>
              <c:numCache>
                <c:formatCode>_-[$₦-468]\ * #,##0_-;\-[$₦-468]\ * #,##0_-;_-[$₦-468]\ * "-"_-;_-@_-</c:formatCode>
                <c:ptCount val="3"/>
                <c:pt idx="0">
                  <c:v>628619850</c:v>
                </c:pt>
                <c:pt idx="1">
                  <c:v>762622950</c:v>
                </c:pt>
                <c:pt idx="2">
                  <c:v>708126450</c:v>
                </c:pt>
              </c:numCache>
            </c:numRef>
          </c:val>
          <c:smooth val="0"/>
          <c:extLst>
            <c:ext xmlns:c16="http://schemas.microsoft.com/office/drawing/2014/chart" uri="{C3380CC4-5D6E-409C-BE32-E72D297353CC}">
              <c16:uniqueId val="{00000000-598E-48EF-A1E5-01B4B5B404EB}"/>
            </c:ext>
          </c:extLst>
        </c:ser>
        <c:dLbls>
          <c:showLegendKey val="0"/>
          <c:showVal val="0"/>
          <c:showCatName val="0"/>
          <c:showSerName val="0"/>
          <c:showPercent val="0"/>
          <c:showBubbleSize val="0"/>
        </c:dLbls>
        <c:marker val="1"/>
        <c:smooth val="0"/>
        <c:axId val="967452912"/>
        <c:axId val="967450832"/>
      </c:lineChart>
      <c:catAx>
        <c:axId val="96745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7450832"/>
        <c:crosses val="autoZero"/>
        <c:auto val="1"/>
        <c:lblAlgn val="ctr"/>
        <c:lblOffset val="100"/>
        <c:noMultiLvlLbl val="0"/>
      </c:catAx>
      <c:valAx>
        <c:axId val="967450832"/>
        <c:scaling>
          <c:orientation val="minMax"/>
        </c:scaling>
        <c:delete val="0"/>
        <c:axPos val="l"/>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745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[AfriMart_KollyBright_Sales_Dataset.xlsx]Pivot Table!PivotTable4</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Units Sold by</a:t>
            </a:r>
            <a:r>
              <a:rPr lang="en-US" b="1" baseline="0">
                <a:solidFill>
                  <a:schemeClr val="bg1"/>
                </a:solidFill>
              </a:rPr>
              <a:t> Products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40000"/>
              <a:lumOff val="60000"/>
            </a:schemeClr>
          </a:solidFill>
          <a:ln>
            <a:noFill/>
          </a:ln>
          <a:effectLst/>
        </c:spPr>
      </c:pivotFmt>
      <c:pivotFmt>
        <c:idx val="10"/>
        <c:spPr>
          <a:solidFill>
            <a:schemeClr val="accent3">
              <a:lumMod val="40000"/>
              <a:lumOff val="60000"/>
            </a:schemeClr>
          </a:solidFill>
          <a:ln>
            <a:noFill/>
          </a:ln>
          <a:effectLst/>
        </c:spPr>
      </c:pivotFmt>
    </c:pivotFmts>
    <c:plotArea>
      <c:layout/>
      <c:barChart>
        <c:barDir val="col"/>
        <c:grouping val="clustered"/>
        <c:varyColors val="0"/>
        <c:ser>
          <c:idx val="0"/>
          <c:order val="0"/>
          <c:tx>
            <c:strRef>
              <c:f>'Pivot Table'!$J$8</c:f>
              <c:strCache>
                <c:ptCount val="1"/>
                <c:pt idx="0">
                  <c:v>Total</c:v>
                </c:pt>
              </c:strCache>
            </c:strRef>
          </c:tx>
          <c:spPr>
            <a:solidFill>
              <a:schemeClr val="accent3">
                <a:lumMod val="40000"/>
                <a:lumOff val="60000"/>
              </a:schemeClr>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F5C2-4738-9508-801197116E27}"/>
              </c:ext>
            </c:extLst>
          </c:dPt>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F5C2-4738-9508-801197116E27}"/>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F5C2-4738-9508-801197116E27}"/>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F5C2-4738-9508-801197116E27}"/>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6-F5C2-4738-9508-801197116E27}"/>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F5C2-4738-9508-801197116E27}"/>
              </c:ext>
            </c:extLst>
          </c:dPt>
          <c:cat>
            <c:strRef>
              <c:f>'Pivot Table'!$I$9:$I$16</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Table'!$J$9:$J$16</c:f>
              <c:numCache>
                <c:formatCode>_(* #,##0.00_);_(* \(#,##0.00\);_(* "-"??_);_(@_)</c:formatCode>
                <c:ptCount val="7"/>
                <c:pt idx="0">
                  <c:v>129679</c:v>
                </c:pt>
                <c:pt idx="1">
                  <c:v>139842</c:v>
                </c:pt>
                <c:pt idx="2">
                  <c:v>156348</c:v>
                </c:pt>
                <c:pt idx="3">
                  <c:v>155359</c:v>
                </c:pt>
                <c:pt idx="4">
                  <c:v>148936</c:v>
                </c:pt>
                <c:pt idx="5">
                  <c:v>151173</c:v>
                </c:pt>
                <c:pt idx="6">
                  <c:v>136548</c:v>
                </c:pt>
              </c:numCache>
            </c:numRef>
          </c:val>
          <c:extLst>
            <c:ext xmlns:c16="http://schemas.microsoft.com/office/drawing/2014/chart" uri="{C3380CC4-5D6E-409C-BE32-E72D297353CC}">
              <c16:uniqueId val="{00000000-F5C2-4738-9508-801197116E27}"/>
            </c:ext>
          </c:extLst>
        </c:ser>
        <c:dLbls>
          <c:showLegendKey val="0"/>
          <c:showVal val="0"/>
          <c:showCatName val="0"/>
          <c:showSerName val="0"/>
          <c:showPercent val="0"/>
          <c:showBubbleSize val="0"/>
        </c:dLbls>
        <c:gapWidth val="219"/>
        <c:overlap val="-27"/>
        <c:axId val="1065762672"/>
        <c:axId val="1065768080"/>
      </c:barChart>
      <c:catAx>
        <c:axId val="106576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768080"/>
        <c:crosses val="autoZero"/>
        <c:auto val="1"/>
        <c:lblAlgn val="ctr"/>
        <c:lblOffset val="100"/>
        <c:noMultiLvlLbl val="0"/>
      </c:catAx>
      <c:valAx>
        <c:axId val="1065768080"/>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76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[AfriMart_KollyBright_Sales_Dataset.xlsx]Pivot Table!PivotTable3</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 by Country</a:t>
            </a:r>
            <a:r>
              <a:rPr lang="en-US" b="1" baseline="0">
                <a:solidFill>
                  <a:schemeClr val="bg1"/>
                </a:solidFill>
              </a:rPr>
              <a:t> and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Table'!$C$27:$C$28</c:f>
              <c:strCache>
                <c:ptCount val="1"/>
                <c:pt idx="0">
                  <c:v>Bread (Family Loaf)</c:v>
                </c:pt>
              </c:strCache>
            </c:strRef>
          </c:tx>
          <c:spPr>
            <a:solidFill>
              <a:schemeClr val="accent1"/>
            </a:solidFill>
            <a:ln>
              <a:noFill/>
            </a:ln>
            <a:effectLst/>
          </c:spPr>
          <c:invertIfNegative val="0"/>
          <c:cat>
            <c:strRef>
              <c:f>'Pivot Table'!$B$29:$B$39</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Table'!$C$29:$C$39</c:f>
              <c:numCache>
                <c:formatCode>_-[$₦-468]\ * #,##0_-;\-[$₦-468]\ * #,##0_-;_-[$₦-468]\ * "-"_-;_-@_-</c:formatCode>
                <c:ptCount val="10"/>
                <c:pt idx="0">
                  <c:v>14263200</c:v>
                </c:pt>
                <c:pt idx="1">
                  <c:v>19258800</c:v>
                </c:pt>
                <c:pt idx="2">
                  <c:v>13351200</c:v>
                </c:pt>
                <c:pt idx="3">
                  <c:v>21872400</c:v>
                </c:pt>
                <c:pt idx="4">
                  <c:v>14569200</c:v>
                </c:pt>
                <c:pt idx="5">
                  <c:v>12295200</c:v>
                </c:pt>
                <c:pt idx="6">
                  <c:v>11834400</c:v>
                </c:pt>
                <c:pt idx="7">
                  <c:v>24312000</c:v>
                </c:pt>
                <c:pt idx="8">
                  <c:v>15474000</c:v>
                </c:pt>
                <c:pt idx="9">
                  <c:v>8384400</c:v>
                </c:pt>
              </c:numCache>
            </c:numRef>
          </c:val>
          <c:extLst>
            <c:ext xmlns:c16="http://schemas.microsoft.com/office/drawing/2014/chart" uri="{C3380CC4-5D6E-409C-BE32-E72D297353CC}">
              <c16:uniqueId val="{00000000-AB30-43D1-B813-C0FB60383733}"/>
            </c:ext>
          </c:extLst>
        </c:ser>
        <c:ser>
          <c:idx val="1"/>
          <c:order val="1"/>
          <c:tx>
            <c:strRef>
              <c:f>'Pivot Table'!$D$27:$D$28</c:f>
              <c:strCache>
                <c:ptCount val="1"/>
                <c:pt idx="0">
                  <c:v>Cement (50kg)</c:v>
                </c:pt>
              </c:strCache>
            </c:strRef>
          </c:tx>
          <c:spPr>
            <a:solidFill>
              <a:schemeClr val="accent2"/>
            </a:solidFill>
            <a:ln>
              <a:noFill/>
            </a:ln>
            <a:effectLst/>
          </c:spPr>
          <c:invertIfNegative val="0"/>
          <c:cat>
            <c:strRef>
              <c:f>'Pivot Table'!$B$29:$B$39</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Table'!$D$29:$D$39</c:f>
              <c:numCache>
                <c:formatCode>_-[$₦-468]\ * #,##0_-;\-[$₦-468]\ * #,##0_-;_-[$₦-468]\ * "-"_-;_-@_-</c:formatCode>
                <c:ptCount val="10"/>
                <c:pt idx="0">
                  <c:v>109030000</c:v>
                </c:pt>
                <c:pt idx="1">
                  <c:v>59685000</c:v>
                </c:pt>
                <c:pt idx="2">
                  <c:v>60560000</c:v>
                </c:pt>
                <c:pt idx="3">
                  <c:v>53935000</c:v>
                </c:pt>
                <c:pt idx="4">
                  <c:v>77640000</c:v>
                </c:pt>
                <c:pt idx="5">
                  <c:v>68155000</c:v>
                </c:pt>
                <c:pt idx="6">
                  <c:v>43245000</c:v>
                </c:pt>
                <c:pt idx="7">
                  <c:v>71865000</c:v>
                </c:pt>
                <c:pt idx="8">
                  <c:v>69645000</c:v>
                </c:pt>
                <c:pt idx="9">
                  <c:v>85450000</c:v>
                </c:pt>
              </c:numCache>
            </c:numRef>
          </c:val>
          <c:extLst>
            <c:ext xmlns:c16="http://schemas.microsoft.com/office/drawing/2014/chart" uri="{C3380CC4-5D6E-409C-BE32-E72D297353CC}">
              <c16:uniqueId val="{00000001-AB30-43D1-B813-C0FB60383733}"/>
            </c:ext>
          </c:extLst>
        </c:ser>
        <c:ser>
          <c:idx val="2"/>
          <c:order val="2"/>
          <c:tx>
            <c:strRef>
              <c:f>'Pivot Table'!$E$27:$E$28</c:f>
              <c:strCache>
                <c:ptCount val="1"/>
                <c:pt idx="0">
                  <c:v>Detergent (1kg)</c:v>
                </c:pt>
              </c:strCache>
            </c:strRef>
          </c:tx>
          <c:spPr>
            <a:solidFill>
              <a:schemeClr val="accent3"/>
            </a:solidFill>
            <a:ln>
              <a:noFill/>
            </a:ln>
            <a:effectLst/>
          </c:spPr>
          <c:invertIfNegative val="0"/>
          <c:cat>
            <c:strRef>
              <c:f>'Pivot Table'!$B$29:$B$39</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Table'!$E$29:$E$39</c:f>
              <c:numCache>
                <c:formatCode>_-[$₦-468]\ * #,##0_-;\-[$₦-468]\ * #,##0_-;_-[$₦-468]\ * "-"_-;_-@_-</c:formatCode>
                <c:ptCount val="10"/>
                <c:pt idx="0">
                  <c:v>73671500</c:v>
                </c:pt>
                <c:pt idx="1">
                  <c:v>29214500</c:v>
                </c:pt>
                <c:pt idx="2">
                  <c:v>50246000</c:v>
                </c:pt>
                <c:pt idx="3">
                  <c:v>67459000</c:v>
                </c:pt>
                <c:pt idx="4">
                  <c:v>36669500</c:v>
                </c:pt>
                <c:pt idx="5">
                  <c:v>45192000</c:v>
                </c:pt>
                <c:pt idx="6">
                  <c:v>79653000</c:v>
                </c:pt>
                <c:pt idx="7">
                  <c:v>71354500</c:v>
                </c:pt>
                <c:pt idx="8">
                  <c:v>43991500</c:v>
                </c:pt>
                <c:pt idx="9">
                  <c:v>49766500</c:v>
                </c:pt>
              </c:numCache>
            </c:numRef>
          </c:val>
          <c:extLst>
            <c:ext xmlns:c16="http://schemas.microsoft.com/office/drawing/2014/chart" uri="{C3380CC4-5D6E-409C-BE32-E72D297353CC}">
              <c16:uniqueId val="{00000002-AB30-43D1-B813-C0FB60383733}"/>
            </c:ext>
          </c:extLst>
        </c:ser>
        <c:ser>
          <c:idx val="3"/>
          <c:order val="3"/>
          <c:tx>
            <c:strRef>
              <c:f>'Pivot Table'!$F$27:$F$28</c:f>
              <c:strCache>
                <c:ptCount val="1"/>
                <c:pt idx="0">
                  <c:v>Garri (Cassava Flour)</c:v>
                </c:pt>
              </c:strCache>
            </c:strRef>
          </c:tx>
          <c:spPr>
            <a:solidFill>
              <a:schemeClr val="accent4"/>
            </a:solidFill>
            <a:ln>
              <a:noFill/>
            </a:ln>
            <a:effectLst/>
          </c:spPr>
          <c:invertIfNegative val="0"/>
          <c:cat>
            <c:strRef>
              <c:f>'Pivot Table'!$B$29:$B$39</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Table'!$F$29:$F$39</c:f>
              <c:numCache>
                <c:formatCode>_-[$₦-468]\ * #,##0_-;\-[$₦-468]\ * #,##0_-;_-[$₦-468]\ * "-"_-;_-@_-</c:formatCode>
                <c:ptCount val="10"/>
                <c:pt idx="0">
                  <c:v>15583200</c:v>
                </c:pt>
                <c:pt idx="1">
                  <c:v>18895200</c:v>
                </c:pt>
                <c:pt idx="2">
                  <c:v>28514400</c:v>
                </c:pt>
                <c:pt idx="3">
                  <c:v>27420000</c:v>
                </c:pt>
                <c:pt idx="4">
                  <c:v>22833600</c:v>
                </c:pt>
                <c:pt idx="5">
                  <c:v>11035200</c:v>
                </c:pt>
                <c:pt idx="6">
                  <c:v>9904800</c:v>
                </c:pt>
                <c:pt idx="7">
                  <c:v>28027200</c:v>
                </c:pt>
                <c:pt idx="8">
                  <c:v>10402800</c:v>
                </c:pt>
                <c:pt idx="9">
                  <c:v>13814400</c:v>
                </c:pt>
              </c:numCache>
            </c:numRef>
          </c:val>
          <c:extLst>
            <c:ext xmlns:c16="http://schemas.microsoft.com/office/drawing/2014/chart" uri="{C3380CC4-5D6E-409C-BE32-E72D297353CC}">
              <c16:uniqueId val="{00000003-AB30-43D1-B813-C0FB60383733}"/>
            </c:ext>
          </c:extLst>
        </c:ser>
        <c:ser>
          <c:idx val="4"/>
          <c:order val="4"/>
          <c:tx>
            <c:strRef>
              <c:f>'Pivot Table'!$G$27:$G$28</c:f>
              <c:strCache>
                <c:ptCount val="1"/>
                <c:pt idx="0">
                  <c:v>Mobile Data Bundle</c:v>
                </c:pt>
              </c:strCache>
            </c:strRef>
          </c:tx>
          <c:spPr>
            <a:solidFill>
              <a:schemeClr val="accent5"/>
            </a:solidFill>
            <a:ln>
              <a:noFill/>
            </a:ln>
            <a:effectLst/>
          </c:spPr>
          <c:invertIfNegative val="0"/>
          <c:cat>
            <c:strRef>
              <c:f>'Pivot Table'!$B$29:$B$39</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Table'!$G$29:$G$39</c:f>
              <c:numCache>
                <c:formatCode>_-[$₦-468]\ * #,##0_-;\-[$₦-468]\ * #,##0_-;_-[$₦-468]\ * "-"_-;_-@_-</c:formatCode>
                <c:ptCount val="10"/>
                <c:pt idx="0">
                  <c:v>56796000</c:v>
                </c:pt>
                <c:pt idx="1">
                  <c:v>33462000</c:v>
                </c:pt>
                <c:pt idx="2">
                  <c:v>62856000</c:v>
                </c:pt>
                <c:pt idx="3">
                  <c:v>29760000</c:v>
                </c:pt>
                <c:pt idx="4">
                  <c:v>62157000</c:v>
                </c:pt>
                <c:pt idx="5">
                  <c:v>16908000</c:v>
                </c:pt>
                <c:pt idx="6">
                  <c:v>43950000</c:v>
                </c:pt>
                <c:pt idx="7">
                  <c:v>47823000</c:v>
                </c:pt>
                <c:pt idx="8">
                  <c:v>48453000</c:v>
                </c:pt>
                <c:pt idx="9">
                  <c:v>44643000</c:v>
                </c:pt>
              </c:numCache>
            </c:numRef>
          </c:val>
          <c:extLst>
            <c:ext xmlns:c16="http://schemas.microsoft.com/office/drawing/2014/chart" uri="{C3380CC4-5D6E-409C-BE32-E72D297353CC}">
              <c16:uniqueId val="{00000004-AB30-43D1-B813-C0FB60383733}"/>
            </c:ext>
          </c:extLst>
        </c:ser>
        <c:ser>
          <c:idx val="5"/>
          <c:order val="5"/>
          <c:tx>
            <c:strRef>
              <c:f>'Pivot Table'!$H$27:$H$28</c:f>
              <c:strCache>
                <c:ptCount val="1"/>
                <c:pt idx="0">
                  <c:v>Palm Oil (5L)</c:v>
                </c:pt>
              </c:strCache>
            </c:strRef>
          </c:tx>
          <c:spPr>
            <a:solidFill>
              <a:schemeClr val="accent6"/>
            </a:solidFill>
            <a:ln>
              <a:noFill/>
            </a:ln>
            <a:effectLst/>
          </c:spPr>
          <c:invertIfNegative val="0"/>
          <c:cat>
            <c:strRef>
              <c:f>'Pivot Table'!$B$29:$B$39</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Table'!$H$29:$H$39</c:f>
              <c:numCache>
                <c:formatCode>_-[$₦-468]\ * #,##0_-;\-[$₦-468]\ * #,##0_-;_-[$₦-468]\ * "-"_-;_-@_-</c:formatCode>
                <c:ptCount val="10"/>
                <c:pt idx="0">
                  <c:v>213105000</c:v>
                </c:pt>
                <c:pt idx="1">
                  <c:v>220905000</c:v>
                </c:pt>
                <c:pt idx="2">
                  <c:v>260670000</c:v>
                </c:pt>
                <c:pt idx="3">
                  <c:v>267825000</c:v>
                </c:pt>
                <c:pt idx="4">
                  <c:v>278520000</c:v>
                </c:pt>
                <c:pt idx="5">
                  <c:v>282270000</c:v>
                </c:pt>
                <c:pt idx="6">
                  <c:v>152700000</c:v>
                </c:pt>
                <c:pt idx="7">
                  <c:v>164850000</c:v>
                </c:pt>
                <c:pt idx="8">
                  <c:v>209115000</c:v>
                </c:pt>
                <c:pt idx="9">
                  <c:v>217635000</c:v>
                </c:pt>
              </c:numCache>
            </c:numRef>
          </c:val>
          <c:extLst>
            <c:ext xmlns:c16="http://schemas.microsoft.com/office/drawing/2014/chart" uri="{C3380CC4-5D6E-409C-BE32-E72D297353CC}">
              <c16:uniqueId val="{00000005-AB30-43D1-B813-C0FB60383733}"/>
            </c:ext>
          </c:extLst>
        </c:ser>
        <c:ser>
          <c:idx val="6"/>
          <c:order val="6"/>
          <c:tx>
            <c:strRef>
              <c:f>'Pivot Table'!$I$27:$I$28</c:f>
              <c:strCache>
                <c:ptCount val="1"/>
                <c:pt idx="0">
                  <c:v>Rice (50kg Bag)</c:v>
                </c:pt>
              </c:strCache>
            </c:strRef>
          </c:tx>
          <c:spPr>
            <a:solidFill>
              <a:schemeClr val="accent1">
                <a:lumMod val="60000"/>
              </a:schemeClr>
            </a:solidFill>
            <a:ln>
              <a:noFill/>
            </a:ln>
            <a:effectLst/>
          </c:spPr>
          <c:invertIfNegative val="0"/>
          <c:cat>
            <c:strRef>
              <c:f>'Pivot Table'!$B$29:$B$39</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Table'!$I$29:$I$39</c:f>
              <c:numCache>
                <c:formatCode>_-[$₦-468]\ * #,##0_-;\-[$₦-468]\ * #,##0_-;_-[$₦-468]\ * "-"_-;_-@_-</c:formatCode>
                <c:ptCount val="10"/>
                <c:pt idx="0">
                  <c:v>1139940000</c:v>
                </c:pt>
                <c:pt idx="1">
                  <c:v>873315000</c:v>
                </c:pt>
                <c:pt idx="2">
                  <c:v>685980000</c:v>
                </c:pt>
                <c:pt idx="3">
                  <c:v>676080000</c:v>
                </c:pt>
                <c:pt idx="4">
                  <c:v>598455000</c:v>
                </c:pt>
                <c:pt idx="5">
                  <c:v>534600000</c:v>
                </c:pt>
                <c:pt idx="6">
                  <c:v>544230000</c:v>
                </c:pt>
                <c:pt idx="7">
                  <c:v>463185000</c:v>
                </c:pt>
                <c:pt idx="8">
                  <c:v>381960000</c:v>
                </c:pt>
                <c:pt idx="9">
                  <c:v>246915000</c:v>
                </c:pt>
              </c:numCache>
            </c:numRef>
          </c:val>
          <c:extLst>
            <c:ext xmlns:c16="http://schemas.microsoft.com/office/drawing/2014/chart" uri="{C3380CC4-5D6E-409C-BE32-E72D297353CC}">
              <c16:uniqueId val="{00000006-AB30-43D1-B813-C0FB60383733}"/>
            </c:ext>
          </c:extLst>
        </c:ser>
        <c:dLbls>
          <c:showLegendKey val="0"/>
          <c:showVal val="0"/>
          <c:showCatName val="0"/>
          <c:showSerName val="0"/>
          <c:showPercent val="0"/>
          <c:showBubbleSize val="0"/>
        </c:dLbls>
        <c:gapWidth val="150"/>
        <c:overlap val="100"/>
        <c:axId val="967428784"/>
        <c:axId val="967432112"/>
      </c:barChart>
      <c:catAx>
        <c:axId val="96742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7432112"/>
        <c:crosses val="autoZero"/>
        <c:auto val="1"/>
        <c:lblAlgn val="ctr"/>
        <c:lblOffset val="100"/>
        <c:noMultiLvlLbl val="0"/>
      </c:catAx>
      <c:valAx>
        <c:axId val="967432112"/>
        <c:scaling>
          <c:orientation val="minMax"/>
        </c:scaling>
        <c:delete val="0"/>
        <c:axPos val="l"/>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7428784"/>
        <c:crosses val="autoZero"/>
        <c:crossBetween val="between"/>
      </c:valAx>
      <c:spPr>
        <a:noFill/>
        <a:ln>
          <a:noFill/>
        </a:ln>
        <a:effectLst/>
      </c:spPr>
    </c:plotArea>
    <c:legend>
      <c:legendPos val="r"/>
      <c:layout>
        <c:manualLayout>
          <c:xMode val="edge"/>
          <c:yMode val="edge"/>
          <c:x val="0.78388336960831384"/>
          <c:y val="0.26423937007874021"/>
          <c:w val="0.21611663039168622"/>
          <c:h val="0.6119383281017384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Pivot Table'!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Data!A1"/></Relationships>
</file>

<file path=xl/drawings/_rels/drawing3.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Data!A1"/><Relationship Id="rId5" Type="http://schemas.openxmlformats.org/officeDocument/2006/relationships/chart" Target="../charts/chart5.xml"/><Relationship Id="rId10" Type="http://schemas.openxmlformats.org/officeDocument/2006/relationships/hyperlink" Target="#'Pivot Table'!A1"/><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683172</xdr:colOff>
      <xdr:row>1</xdr:row>
      <xdr:rowOff>0</xdr:rowOff>
    </xdr:from>
    <xdr:to>
      <xdr:col>10</xdr:col>
      <xdr:colOff>519604</xdr:colOff>
      <xdr:row>2</xdr:row>
      <xdr:rowOff>178020</xdr:rowOff>
    </xdr:to>
    <xdr:sp macro="" textlink="">
      <xdr:nvSpPr>
        <xdr:cNvPr id="2" name="TextBox 1">
          <a:hlinkClick xmlns:r="http://schemas.openxmlformats.org/officeDocument/2006/relationships" r:id="rId1"/>
          <a:extLst>
            <a:ext uri="{FF2B5EF4-FFF2-40B4-BE49-F238E27FC236}">
              <a16:creationId xmlns:a16="http://schemas.microsoft.com/office/drawing/2014/main" id="{2359DB8E-6E8B-455B-B6FB-8200D670C7FF}"/>
            </a:ext>
          </a:extLst>
        </xdr:cNvPr>
        <xdr:cNvSpPr txBox="1"/>
      </xdr:nvSpPr>
      <xdr:spPr>
        <a:xfrm>
          <a:off x="7534603" y="183931"/>
          <a:ext cx="1885949" cy="36195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FF00"/>
              </a:solidFill>
            </a:rPr>
            <a:t>View</a:t>
          </a:r>
          <a:r>
            <a:rPr lang="en-US" sz="1600" b="1" baseline="0">
              <a:solidFill>
                <a:srgbClr val="FFFF00"/>
              </a:solidFill>
            </a:rPr>
            <a:t> Pivot-</a:t>
          </a:r>
          <a:r>
            <a:rPr lang="en-US" sz="1600" b="1">
              <a:solidFill>
                <a:srgbClr val="FFFF00"/>
              </a:solidFill>
            </a:rPr>
            <a:t>Table</a:t>
          </a:r>
        </a:p>
      </xdr:txBody>
    </xdr:sp>
    <xdr:clientData/>
  </xdr:twoCellAnchor>
  <xdr:twoCellAnchor>
    <xdr:from>
      <xdr:col>7</xdr:col>
      <xdr:colOff>683172</xdr:colOff>
      <xdr:row>4</xdr:row>
      <xdr:rowOff>0</xdr:rowOff>
    </xdr:from>
    <xdr:to>
      <xdr:col>10</xdr:col>
      <xdr:colOff>519604</xdr:colOff>
      <xdr:row>5</xdr:row>
      <xdr:rowOff>178020</xdr:rowOff>
    </xdr:to>
    <xdr:sp macro="" textlink="">
      <xdr:nvSpPr>
        <xdr:cNvPr id="3" name="TextBox 2">
          <a:hlinkClick xmlns:r="http://schemas.openxmlformats.org/officeDocument/2006/relationships" r:id="rId2"/>
          <a:extLst>
            <a:ext uri="{FF2B5EF4-FFF2-40B4-BE49-F238E27FC236}">
              <a16:creationId xmlns:a16="http://schemas.microsoft.com/office/drawing/2014/main" id="{E4E6681F-5885-4F8D-B540-5009FFE12BE4}"/>
            </a:ext>
          </a:extLst>
        </xdr:cNvPr>
        <xdr:cNvSpPr txBox="1"/>
      </xdr:nvSpPr>
      <xdr:spPr>
        <a:xfrm>
          <a:off x="7534603" y="735724"/>
          <a:ext cx="1885949" cy="36195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FF00"/>
              </a:solidFill>
            </a:rPr>
            <a:t>View Dashboard</a:t>
          </a:r>
        </a:p>
        <a:p>
          <a:endParaRPr lang="en-US" sz="1600" b="1">
            <a:solidFill>
              <a:srgbClr val="FFFF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180974</xdr:rowOff>
    </xdr:from>
    <xdr:to>
      <xdr:col>2</xdr:col>
      <xdr:colOff>0</xdr:colOff>
      <xdr:row>3</xdr:row>
      <xdr:rowOff>0</xdr:rowOff>
    </xdr:to>
    <xdr:sp macro="" textlink="">
      <xdr:nvSpPr>
        <xdr:cNvPr id="16" name="TextBox 15">
          <a:hlinkClick xmlns:r="http://schemas.openxmlformats.org/officeDocument/2006/relationships" r:id="rId1"/>
          <a:extLst>
            <a:ext uri="{FF2B5EF4-FFF2-40B4-BE49-F238E27FC236}">
              <a16:creationId xmlns:a16="http://schemas.microsoft.com/office/drawing/2014/main" id="{B5E1CBC6-DDD6-4ECE-B71D-896728F7A4E2}"/>
            </a:ext>
          </a:extLst>
        </xdr:cNvPr>
        <xdr:cNvSpPr txBox="1"/>
      </xdr:nvSpPr>
      <xdr:spPr>
        <a:xfrm>
          <a:off x="1" y="180974"/>
          <a:ext cx="1885949" cy="36195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FF00"/>
              </a:solidFill>
            </a:rPr>
            <a:t>Dataset Table</a:t>
          </a:r>
        </a:p>
      </xdr:txBody>
    </xdr:sp>
    <xdr:clientData/>
  </xdr:twoCellAnchor>
  <xdr:twoCellAnchor>
    <xdr:from>
      <xdr:col>2</xdr:col>
      <xdr:colOff>47626</xdr:colOff>
      <xdr:row>0</xdr:row>
      <xdr:rowOff>161924</xdr:rowOff>
    </xdr:from>
    <xdr:to>
      <xdr:col>3</xdr:col>
      <xdr:colOff>742950</xdr:colOff>
      <xdr:row>2</xdr:row>
      <xdr:rowOff>161925</xdr:rowOff>
    </xdr:to>
    <xdr:sp macro="" textlink="">
      <xdr:nvSpPr>
        <xdr:cNvPr id="17" name="TextBox 16">
          <a:hlinkClick xmlns:r="http://schemas.openxmlformats.org/officeDocument/2006/relationships" r:id="rId2"/>
          <a:extLst>
            <a:ext uri="{FF2B5EF4-FFF2-40B4-BE49-F238E27FC236}">
              <a16:creationId xmlns:a16="http://schemas.microsoft.com/office/drawing/2014/main" id="{AC92E7A1-6385-4957-8533-EA1433B2EB37}"/>
            </a:ext>
          </a:extLst>
        </xdr:cNvPr>
        <xdr:cNvSpPr txBox="1"/>
      </xdr:nvSpPr>
      <xdr:spPr>
        <a:xfrm>
          <a:off x="1933576" y="161924"/>
          <a:ext cx="1885949" cy="36195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FF00"/>
              </a:solidFill>
            </a:rPr>
            <a:t>View</a:t>
          </a:r>
          <a:r>
            <a:rPr lang="en-US" sz="1400" b="1" baseline="0">
              <a:solidFill>
                <a:srgbClr val="FFFF00"/>
              </a:solidFill>
            </a:rPr>
            <a:t> Dashboard</a:t>
          </a:r>
          <a:endParaRPr lang="en-US" sz="1050" b="1" baseline="0">
            <a:solidFill>
              <a:srgbClr val="FFFF00"/>
            </a:solidFill>
          </a:endParaRPr>
        </a:p>
        <a:p>
          <a:endParaRPr lang="en-US" sz="1800" b="1">
            <a:solidFill>
              <a:srgbClr val="FFFF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137579</xdr:colOff>
      <xdr:row>1</xdr:row>
      <xdr:rowOff>103820</xdr:rowOff>
    </xdr:from>
    <xdr:to>
      <xdr:col>20</xdr:col>
      <xdr:colOff>137579</xdr:colOff>
      <xdr:row>49</xdr:row>
      <xdr:rowOff>0</xdr:rowOff>
    </xdr:to>
    <xdr:sp macro="" textlink="">
      <xdr:nvSpPr>
        <xdr:cNvPr id="4" name="Rectangle: Rounded Corners 3">
          <a:extLst>
            <a:ext uri="{FF2B5EF4-FFF2-40B4-BE49-F238E27FC236}">
              <a16:creationId xmlns:a16="http://schemas.microsoft.com/office/drawing/2014/main" id="{5C3DB098-6736-4914-B9C7-2D6D4E19D707}"/>
            </a:ext>
          </a:extLst>
        </xdr:cNvPr>
        <xdr:cNvSpPr/>
      </xdr:nvSpPr>
      <xdr:spPr>
        <a:xfrm>
          <a:off x="1513412" y="283737"/>
          <a:ext cx="12382500" cy="8532180"/>
        </a:xfrm>
        <a:prstGeom prst="roundRect">
          <a:avLst>
            <a:gd name="adj" fmla="val 3128"/>
          </a:avLst>
        </a:prstGeom>
        <a:solidFill>
          <a:srgbClr val="1736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42813</xdr:colOff>
      <xdr:row>0</xdr:row>
      <xdr:rowOff>0</xdr:rowOff>
    </xdr:from>
    <xdr:to>
      <xdr:col>20</xdr:col>
      <xdr:colOff>74083</xdr:colOff>
      <xdr:row>3</xdr:row>
      <xdr:rowOff>47625</xdr:rowOff>
    </xdr:to>
    <xdr:sp macro="" textlink="">
      <xdr:nvSpPr>
        <xdr:cNvPr id="6" name="Rectangle 5">
          <a:extLst>
            <a:ext uri="{FF2B5EF4-FFF2-40B4-BE49-F238E27FC236}">
              <a16:creationId xmlns:a16="http://schemas.microsoft.com/office/drawing/2014/main" id="{92A547CF-DB3C-4BB2-BEF6-85D28752638B}"/>
            </a:ext>
          </a:extLst>
        </xdr:cNvPr>
        <xdr:cNvSpPr/>
      </xdr:nvSpPr>
      <xdr:spPr>
        <a:xfrm>
          <a:off x="42813" y="0"/>
          <a:ext cx="13789603" cy="587375"/>
        </a:xfrm>
        <a:prstGeom prst="rect">
          <a:avLst/>
        </a:prstGeom>
        <a:solidFill>
          <a:srgbClr val="1736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571503</xdr:colOff>
      <xdr:row>3</xdr:row>
      <xdr:rowOff>102053</xdr:rowOff>
    </xdr:from>
    <xdr:to>
      <xdr:col>6</xdr:col>
      <xdr:colOff>571503</xdr:colOff>
      <xdr:row>8</xdr:row>
      <xdr:rowOff>168593</xdr:rowOff>
    </xdr:to>
    <xdr:sp macro="" textlink="">
      <xdr:nvSpPr>
        <xdr:cNvPr id="7" name="Rectangle: Rounded Corners 6">
          <a:extLst>
            <a:ext uri="{FF2B5EF4-FFF2-40B4-BE49-F238E27FC236}">
              <a16:creationId xmlns:a16="http://schemas.microsoft.com/office/drawing/2014/main" id="{46840137-7786-484E-B555-F248213FB23A}"/>
            </a:ext>
          </a:extLst>
        </xdr:cNvPr>
        <xdr:cNvSpPr/>
      </xdr:nvSpPr>
      <xdr:spPr>
        <a:xfrm>
          <a:off x="1947336" y="641803"/>
          <a:ext cx="2751667" cy="966123"/>
        </a:xfrm>
        <a:prstGeom prst="roundRect">
          <a:avLst>
            <a:gd name="adj" fmla="val 19971"/>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35730</xdr:colOff>
      <xdr:row>3</xdr:row>
      <xdr:rowOff>152130</xdr:rowOff>
    </xdr:from>
    <xdr:to>
      <xdr:col>11</xdr:col>
      <xdr:colOff>166698</xdr:colOff>
      <xdr:row>9</xdr:row>
      <xdr:rowOff>12031</xdr:rowOff>
    </xdr:to>
    <xdr:sp macro="" textlink="">
      <xdr:nvSpPr>
        <xdr:cNvPr id="8" name="Rectangle: Rounded Corners 7">
          <a:extLst>
            <a:ext uri="{FF2B5EF4-FFF2-40B4-BE49-F238E27FC236}">
              <a16:creationId xmlns:a16="http://schemas.microsoft.com/office/drawing/2014/main" id="{6D157509-F80C-4931-A2B7-BA3F9D2AF650}"/>
            </a:ext>
          </a:extLst>
        </xdr:cNvPr>
        <xdr:cNvSpPr/>
      </xdr:nvSpPr>
      <xdr:spPr>
        <a:xfrm>
          <a:off x="4851147" y="691880"/>
          <a:ext cx="2882634" cy="939401"/>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250035</xdr:colOff>
      <xdr:row>3</xdr:row>
      <xdr:rowOff>114964</xdr:rowOff>
    </xdr:from>
    <xdr:to>
      <xdr:col>15</xdr:col>
      <xdr:colOff>0</xdr:colOff>
      <xdr:row>8</xdr:row>
      <xdr:rowOff>154782</xdr:rowOff>
    </xdr:to>
    <xdr:sp macro="" textlink="">
      <xdr:nvSpPr>
        <xdr:cNvPr id="9" name="Rectangle: Rounded Corners 8">
          <a:extLst>
            <a:ext uri="{FF2B5EF4-FFF2-40B4-BE49-F238E27FC236}">
              <a16:creationId xmlns:a16="http://schemas.microsoft.com/office/drawing/2014/main" id="{230BF9EA-4EAC-4C24-8DD8-82C8B34E760F}"/>
            </a:ext>
          </a:extLst>
        </xdr:cNvPr>
        <xdr:cNvSpPr/>
      </xdr:nvSpPr>
      <xdr:spPr>
        <a:xfrm>
          <a:off x="7817118" y="654714"/>
          <a:ext cx="2501632" cy="939401"/>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238125</xdr:colOff>
      <xdr:row>3</xdr:row>
      <xdr:rowOff>126870</xdr:rowOff>
    </xdr:from>
    <xdr:to>
      <xdr:col>19</xdr:col>
      <xdr:colOff>0</xdr:colOff>
      <xdr:row>8</xdr:row>
      <xdr:rowOff>166688</xdr:rowOff>
    </xdr:to>
    <xdr:sp macro="" textlink="">
      <xdr:nvSpPr>
        <xdr:cNvPr id="10" name="Rectangle: Rounded Corners 9">
          <a:extLst>
            <a:ext uri="{FF2B5EF4-FFF2-40B4-BE49-F238E27FC236}">
              <a16:creationId xmlns:a16="http://schemas.microsoft.com/office/drawing/2014/main" id="{D428A136-D51F-44EB-B00E-005B2D68C34E}"/>
            </a:ext>
          </a:extLst>
        </xdr:cNvPr>
        <xdr:cNvSpPr/>
      </xdr:nvSpPr>
      <xdr:spPr>
        <a:xfrm>
          <a:off x="10556875" y="666620"/>
          <a:ext cx="2513542" cy="939401"/>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C000"/>
            </a:solidFill>
          </a:endParaRPr>
        </a:p>
      </xdr:txBody>
    </xdr:sp>
    <xdr:clientData/>
  </xdr:twoCellAnchor>
  <xdr:twoCellAnchor>
    <xdr:from>
      <xdr:col>2</xdr:col>
      <xdr:colOff>261944</xdr:colOff>
      <xdr:row>9</xdr:row>
      <xdr:rowOff>64062</xdr:rowOff>
    </xdr:from>
    <xdr:to>
      <xdr:col>8</xdr:col>
      <xdr:colOff>261944</xdr:colOff>
      <xdr:row>24</xdr:row>
      <xdr:rowOff>107157</xdr:rowOff>
    </xdr:to>
    <xdr:sp macro="" textlink="">
      <xdr:nvSpPr>
        <xdr:cNvPr id="13" name="Rectangle: Rounded Corners 12">
          <a:extLst>
            <a:ext uri="{FF2B5EF4-FFF2-40B4-BE49-F238E27FC236}">
              <a16:creationId xmlns:a16="http://schemas.microsoft.com/office/drawing/2014/main" id="{920E6DC0-6961-427E-974E-E56AF53351B0}"/>
            </a:ext>
          </a:extLst>
        </xdr:cNvPr>
        <xdr:cNvSpPr/>
      </xdr:nvSpPr>
      <xdr:spPr>
        <a:xfrm>
          <a:off x="1637777" y="1683312"/>
          <a:ext cx="4127500" cy="2741845"/>
        </a:xfrm>
        <a:prstGeom prst="roundRect">
          <a:avLst/>
        </a:prstGeom>
        <a:solidFill>
          <a:srgbClr val="002060"/>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306630</xdr:colOff>
      <xdr:row>9</xdr:row>
      <xdr:rowOff>125939</xdr:rowOff>
    </xdr:from>
    <xdr:to>
      <xdr:col>8</xdr:col>
      <xdr:colOff>58980</xdr:colOff>
      <xdr:row>24</xdr:row>
      <xdr:rowOff>57150</xdr:rowOff>
    </xdr:to>
    <xdr:graphicFrame macro="">
      <xdr:nvGraphicFramePr>
        <xdr:cNvPr id="14" name="Chart 13">
          <a:extLst>
            <a:ext uri="{FF2B5EF4-FFF2-40B4-BE49-F238E27FC236}">
              <a16:creationId xmlns:a16="http://schemas.microsoft.com/office/drawing/2014/main" id="{649BA991-45BE-4EBB-AD29-80A014291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380442</xdr:colOff>
      <xdr:row>9</xdr:row>
      <xdr:rowOff>31795</xdr:rowOff>
    </xdr:from>
    <xdr:to>
      <xdr:col>13</xdr:col>
      <xdr:colOff>539671</xdr:colOff>
      <xdr:row>24</xdr:row>
      <xdr:rowOff>130970</xdr:rowOff>
    </xdr:to>
    <xdr:sp macro="" textlink="">
      <xdr:nvSpPr>
        <xdr:cNvPr id="15" name="Rectangle: Rounded Corners 14">
          <a:extLst>
            <a:ext uri="{FF2B5EF4-FFF2-40B4-BE49-F238E27FC236}">
              <a16:creationId xmlns:a16="http://schemas.microsoft.com/office/drawing/2014/main" id="{C15DD4CD-5CBA-4B83-B500-18B94E6425D1}"/>
            </a:ext>
          </a:extLst>
        </xdr:cNvPr>
        <xdr:cNvSpPr/>
      </xdr:nvSpPr>
      <xdr:spPr>
        <a:xfrm>
          <a:off x="5883775" y="1651045"/>
          <a:ext cx="3598813" cy="2797925"/>
        </a:xfrm>
        <a:prstGeom prst="roundRect">
          <a:avLst/>
        </a:prstGeom>
        <a:solidFill>
          <a:srgbClr val="002060"/>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455685</xdr:colOff>
      <xdr:row>10</xdr:row>
      <xdr:rowOff>82248</xdr:rowOff>
    </xdr:from>
    <xdr:to>
      <xdr:col>13</xdr:col>
      <xdr:colOff>369094</xdr:colOff>
      <xdr:row>23</xdr:row>
      <xdr:rowOff>54768</xdr:rowOff>
    </xdr:to>
    <xdr:graphicFrame macro="">
      <xdr:nvGraphicFramePr>
        <xdr:cNvPr id="16" name="Chart 15">
          <a:extLst>
            <a:ext uri="{FF2B5EF4-FFF2-40B4-BE49-F238E27FC236}">
              <a16:creationId xmlns:a16="http://schemas.microsoft.com/office/drawing/2014/main" id="{4BCA2C5D-C048-4EEA-9EEF-098D736EA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xdr:row>
      <xdr:rowOff>78608</xdr:rowOff>
    </xdr:from>
    <xdr:to>
      <xdr:col>2</xdr:col>
      <xdr:colOff>106605</xdr:colOff>
      <xdr:row>48</xdr:row>
      <xdr:rowOff>1</xdr:rowOff>
    </xdr:to>
    <xdr:sp macro="" textlink="">
      <xdr:nvSpPr>
        <xdr:cNvPr id="17" name="Rectangle: Rounded Corners 16">
          <a:extLst>
            <a:ext uri="{FF2B5EF4-FFF2-40B4-BE49-F238E27FC236}">
              <a16:creationId xmlns:a16="http://schemas.microsoft.com/office/drawing/2014/main" id="{999A5C87-E73F-4B02-B403-8BB10C57D34A}"/>
            </a:ext>
          </a:extLst>
        </xdr:cNvPr>
        <xdr:cNvSpPr/>
      </xdr:nvSpPr>
      <xdr:spPr>
        <a:xfrm>
          <a:off x="9525" y="258525"/>
          <a:ext cx="1472913" cy="8377476"/>
        </a:xfrm>
        <a:prstGeom prst="roundRect">
          <a:avLst>
            <a:gd name="adj" fmla="val 902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614641</xdr:colOff>
      <xdr:row>9</xdr:row>
      <xdr:rowOff>32122</xdr:rowOff>
    </xdr:from>
    <xdr:to>
      <xdr:col>19</xdr:col>
      <xdr:colOff>297650</xdr:colOff>
      <xdr:row>25</xdr:row>
      <xdr:rowOff>1</xdr:rowOff>
    </xdr:to>
    <xdr:sp macro="" textlink="">
      <xdr:nvSpPr>
        <xdr:cNvPr id="22" name="Rectangle: Rounded Corners 21">
          <a:extLst>
            <a:ext uri="{FF2B5EF4-FFF2-40B4-BE49-F238E27FC236}">
              <a16:creationId xmlns:a16="http://schemas.microsoft.com/office/drawing/2014/main" id="{BF8F1DB9-829D-41B2-A564-2AB26412ADE0}"/>
            </a:ext>
          </a:extLst>
        </xdr:cNvPr>
        <xdr:cNvSpPr/>
      </xdr:nvSpPr>
      <xdr:spPr>
        <a:xfrm>
          <a:off x="9557558" y="1651372"/>
          <a:ext cx="3810509" cy="2846546"/>
        </a:xfrm>
        <a:prstGeom prst="roundRect">
          <a:avLst>
            <a:gd name="adj" fmla="val 11111"/>
          </a:avLst>
        </a:prstGeom>
        <a:solidFill>
          <a:srgbClr val="002060"/>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104776</xdr:colOff>
      <xdr:row>10</xdr:row>
      <xdr:rowOff>75466</xdr:rowOff>
    </xdr:from>
    <xdr:to>
      <xdr:col>19</xdr:col>
      <xdr:colOff>0</xdr:colOff>
      <xdr:row>24</xdr:row>
      <xdr:rowOff>28575</xdr:rowOff>
    </xdr:to>
    <xdr:graphicFrame macro="">
      <xdr:nvGraphicFramePr>
        <xdr:cNvPr id="24" name="Chart 23">
          <a:extLst>
            <a:ext uri="{FF2B5EF4-FFF2-40B4-BE49-F238E27FC236}">
              <a16:creationId xmlns:a16="http://schemas.microsoft.com/office/drawing/2014/main" id="{E465964B-A14B-4B88-8AEA-D4BBBE653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306630</xdr:colOff>
      <xdr:row>24</xdr:row>
      <xdr:rowOff>128319</xdr:rowOff>
    </xdr:from>
    <xdr:to>
      <xdr:col>10</xdr:col>
      <xdr:colOff>0</xdr:colOff>
      <xdr:row>42</xdr:row>
      <xdr:rowOff>83342</xdr:rowOff>
    </xdr:to>
    <xdr:sp macro="" textlink="">
      <xdr:nvSpPr>
        <xdr:cNvPr id="25" name="Rectangle: Rounded Corners 24">
          <a:extLst>
            <a:ext uri="{FF2B5EF4-FFF2-40B4-BE49-F238E27FC236}">
              <a16:creationId xmlns:a16="http://schemas.microsoft.com/office/drawing/2014/main" id="{70084C48-D06B-49FC-B6FE-9E64FF83E210}"/>
            </a:ext>
          </a:extLst>
        </xdr:cNvPr>
        <xdr:cNvSpPr/>
      </xdr:nvSpPr>
      <xdr:spPr>
        <a:xfrm>
          <a:off x="1682463" y="4446319"/>
          <a:ext cx="5196704" cy="3193523"/>
        </a:xfrm>
        <a:prstGeom prst="roundRect">
          <a:avLst/>
        </a:prstGeom>
        <a:solidFill>
          <a:srgbClr val="002060"/>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63991</xdr:colOff>
      <xdr:row>25</xdr:row>
      <xdr:rowOff>27105</xdr:rowOff>
    </xdr:from>
    <xdr:to>
      <xdr:col>19</xdr:col>
      <xdr:colOff>529171</xdr:colOff>
      <xdr:row>42</xdr:row>
      <xdr:rowOff>71436</xdr:rowOff>
    </xdr:to>
    <xdr:sp macro="" textlink="">
      <xdr:nvSpPr>
        <xdr:cNvPr id="26" name="Rectangle: Rounded Corners 25">
          <a:extLst>
            <a:ext uri="{FF2B5EF4-FFF2-40B4-BE49-F238E27FC236}">
              <a16:creationId xmlns:a16="http://schemas.microsoft.com/office/drawing/2014/main" id="{350C8A92-A480-4C4C-8E65-9CE7220923C1}"/>
            </a:ext>
          </a:extLst>
        </xdr:cNvPr>
        <xdr:cNvSpPr/>
      </xdr:nvSpPr>
      <xdr:spPr>
        <a:xfrm>
          <a:off x="6943158" y="4525022"/>
          <a:ext cx="6656430" cy="3102914"/>
        </a:xfrm>
        <a:prstGeom prst="roundRect">
          <a:avLst/>
        </a:prstGeom>
        <a:solidFill>
          <a:srgbClr val="002060"/>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497417</xdr:colOff>
      <xdr:row>25</xdr:row>
      <xdr:rowOff>115900</xdr:rowOff>
    </xdr:from>
    <xdr:to>
      <xdr:col>9</xdr:col>
      <xdr:colOff>497417</xdr:colOff>
      <xdr:row>42</xdr:row>
      <xdr:rowOff>0</xdr:rowOff>
    </xdr:to>
    <xdr:graphicFrame macro="">
      <xdr:nvGraphicFramePr>
        <xdr:cNvPr id="27" name="Chart 26">
          <a:extLst>
            <a:ext uri="{FF2B5EF4-FFF2-40B4-BE49-F238E27FC236}">
              <a16:creationId xmlns:a16="http://schemas.microsoft.com/office/drawing/2014/main" id="{5D36401C-183F-4572-B1C8-F1BDAD0E0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402166</xdr:colOff>
      <xdr:row>25</xdr:row>
      <xdr:rowOff>156098</xdr:rowOff>
    </xdr:from>
    <xdr:to>
      <xdr:col>18</xdr:col>
      <xdr:colOff>402167</xdr:colOff>
      <xdr:row>41</xdr:row>
      <xdr:rowOff>95247</xdr:rowOff>
    </xdr:to>
    <xdr:graphicFrame macro="">
      <xdr:nvGraphicFramePr>
        <xdr:cNvPr id="29" name="Chart 28">
          <a:extLst>
            <a:ext uri="{FF2B5EF4-FFF2-40B4-BE49-F238E27FC236}">
              <a16:creationId xmlns:a16="http://schemas.microsoft.com/office/drawing/2014/main" id="{E2C9797A-58A6-46AD-8D4A-7EA83FCBB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29628</xdr:rowOff>
    </xdr:from>
    <xdr:to>
      <xdr:col>2</xdr:col>
      <xdr:colOff>5292</xdr:colOff>
      <xdr:row>20</xdr:row>
      <xdr:rowOff>152137</xdr:rowOff>
    </xdr:to>
    <mc:AlternateContent xmlns:mc="http://schemas.openxmlformats.org/markup-compatibility/2006" xmlns:a14="http://schemas.microsoft.com/office/drawing/2010/main">
      <mc:Choice Requires="a14">
        <xdr:graphicFrame macro="">
          <xdr:nvGraphicFramePr>
            <xdr:cNvPr id="30" name="Country 2">
              <a:extLst>
                <a:ext uri="{FF2B5EF4-FFF2-40B4-BE49-F238E27FC236}">
                  <a16:creationId xmlns:a16="http://schemas.microsoft.com/office/drawing/2014/main" id="{9A75C292-33E3-4E29-8713-D20285B2A75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0" y="569378"/>
              <a:ext cx="1381125" cy="3181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42333</xdr:colOff>
      <xdr:row>21</xdr:row>
      <xdr:rowOff>81183</xdr:rowOff>
    </xdr:from>
    <xdr:to>
      <xdr:col>1</xdr:col>
      <xdr:colOff>637646</xdr:colOff>
      <xdr:row>31</xdr:row>
      <xdr:rowOff>117739</xdr:rowOff>
    </xdr:to>
    <mc:AlternateContent xmlns:mc="http://schemas.openxmlformats.org/markup-compatibility/2006" xmlns:a14="http://schemas.microsoft.com/office/drawing/2010/main">
      <mc:Choice Requires="a14">
        <xdr:graphicFrame macro="">
          <xdr:nvGraphicFramePr>
            <xdr:cNvPr id="32" name="Years 2">
              <a:extLst>
                <a:ext uri="{FF2B5EF4-FFF2-40B4-BE49-F238E27FC236}">
                  <a16:creationId xmlns:a16="http://schemas.microsoft.com/office/drawing/2014/main" id="{84147FEF-73B7-4920-A995-2A8674B1C35E}"/>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42333" y="3859433"/>
              <a:ext cx="1283230" cy="1835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488157</xdr:colOff>
      <xdr:row>5</xdr:row>
      <xdr:rowOff>156104</xdr:rowOff>
    </xdr:from>
    <xdr:to>
      <xdr:col>7</xdr:col>
      <xdr:colOff>631032</xdr:colOff>
      <xdr:row>9</xdr:row>
      <xdr:rowOff>0</xdr:rowOff>
    </xdr:to>
    <xdr:sp macro="" textlink="'Pivot Table'!D5">
      <xdr:nvSpPr>
        <xdr:cNvPr id="33" name="TextBox 32">
          <a:extLst>
            <a:ext uri="{FF2B5EF4-FFF2-40B4-BE49-F238E27FC236}">
              <a16:creationId xmlns:a16="http://schemas.microsoft.com/office/drawing/2014/main" id="{F7C8DC7E-BFB5-435D-91E6-27FDD1FCABC4}"/>
            </a:ext>
          </a:extLst>
        </xdr:cNvPr>
        <xdr:cNvSpPr txBox="1"/>
      </xdr:nvSpPr>
      <xdr:spPr>
        <a:xfrm>
          <a:off x="2551907" y="1055687"/>
          <a:ext cx="2894542"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EBB859-AF39-4A92-AAD2-14929E1A019C}" type="TxLink">
            <a:rPr lang="en-US" sz="2000" b="1" i="0" u="none" strike="noStrike">
              <a:solidFill>
                <a:schemeClr val="bg1"/>
              </a:solidFill>
              <a:latin typeface="Tw Cen MT"/>
            </a:rPr>
            <a:pPr/>
            <a:t> ₦ 10,447,536,600 </a:t>
          </a:fld>
          <a:endParaRPr lang="en-US" sz="2800" b="1">
            <a:solidFill>
              <a:schemeClr val="bg1"/>
            </a:solidFill>
          </a:endParaRPr>
        </a:p>
      </xdr:txBody>
    </xdr:sp>
    <xdr:clientData/>
  </xdr:twoCellAnchor>
  <xdr:twoCellAnchor>
    <xdr:from>
      <xdr:col>3</xdr:col>
      <xdr:colOff>666753</xdr:colOff>
      <xdr:row>3</xdr:row>
      <xdr:rowOff>156104</xdr:rowOff>
    </xdr:from>
    <xdr:to>
      <xdr:col>6</xdr:col>
      <xdr:colOff>666753</xdr:colOff>
      <xdr:row>7</xdr:row>
      <xdr:rowOff>0</xdr:rowOff>
    </xdr:to>
    <xdr:sp macro="" textlink="">
      <xdr:nvSpPr>
        <xdr:cNvPr id="34" name="TextBox 33">
          <a:extLst>
            <a:ext uri="{FF2B5EF4-FFF2-40B4-BE49-F238E27FC236}">
              <a16:creationId xmlns:a16="http://schemas.microsoft.com/office/drawing/2014/main" id="{D474A826-0BFF-4D3F-AB96-C51182EA1329}"/>
            </a:ext>
          </a:extLst>
        </xdr:cNvPr>
        <xdr:cNvSpPr txBox="1"/>
      </xdr:nvSpPr>
      <xdr:spPr>
        <a:xfrm>
          <a:off x="2730503" y="695854"/>
          <a:ext cx="2063750"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C000"/>
              </a:solidFill>
            </a:rPr>
            <a:t> Total</a:t>
          </a:r>
          <a:r>
            <a:rPr lang="en-US" sz="1400" b="1" baseline="0">
              <a:solidFill>
                <a:srgbClr val="FFC000"/>
              </a:solidFill>
            </a:rPr>
            <a:t> Revenue</a:t>
          </a:r>
          <a:r>
            <a:rPr lang="en-US" sz="1400" b="1">
              <a:solidFill>
                <a:srgbClr val="FFC000"/>
              </a:solidFill>
            </a:rPr>
            <a:t> </a:t>
          </a:r>
        </a:p>
      </xdr:txBody>
    </xdr:sp>
    <xdr:clientData/>
  </xdr:twoCellAnchor>
  <xdr:twoCellAnchor editAs="oneCell">
    <xdr:from>
      <xdr:col>7</xdr:col>
      <xdr:colOff>166695</xdr:colOff>
      <xdr:row>4</xdr:row>
      <xdr:rowOff>156103</xdr:rowOff>
    </xdr:from>
    <xdr:to>
      <xdr:col>8</xdr:col>
      <xdr:colOff>12010</xdr:colOff>
      <xdr:row>8</xdr:row>
      <xdr:rowOff>0</xdr:rowOff>
    </xdr:to>
    <xdr:pic>
      <xdr:nvPicPr>
        <xdr:cNvPr id="36" name="Picture 35">
          <a:extLst>
            <a:ext uri="{FF2B5EF4-FFF2-40B4-BE49-F238E27FC236}">
              <a16:creationId xmlns:a16="http://schemas.microsoft.com/office/drawing/2014/main" id="{E041D286-10F7-4645-A372-82B2EE5EE64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82112" y="875770"/>
          <a:ext cx="533231" cy="563563"/>
        </a:xfrm>
        <a:prstGeom prst="rect">
          <a:avLst/>
        </a:prstGeom>
      </xdr:spPr>
    </xdr:pic>
    <xdr:clientData/>
  </xdr:twoCellAnchor>
  <xdr:twoCellAnchor>
    <xdr:from>
      <xdr:col>8</xdr:col>
      <xdr:colOff>83347</xdr:colOff>
      <xdr:row>4</xdr:row>
      <xdr:rowOff>0</xdr:rowOff>
    </xdr:from>
    <xdr:to>
      <xdr:col>11</xdr:col>
      <xdr:colOff>83346</xdr:colOff>
      <xdr:row>7</xdr:row>
      <xdr:rowOff>23813</xdr:rowOff>
    </xdr:to>
    <xdr:sp macro="" textlink="">
      <xdr:nvSpPr>
        <xdr:cNvPr id="38" name="TextBox 37">
          <a:extLst>
            <a:ext uri="{FF2B5EF4-FFF2-40B4-BE49-F238E27FC236}">
              <a16:creationId xmlns:a16="http://schemas.microsoft.com/office/drawing/2014/main" id="{170E1617-5874-46E7-B9E5-A8019A4833B4}"/>
            </a:ext>
          </a:extLst>
        </xdr:cNvPr>
        <xdr:cNvSpPr txBox="1"/>
      </xdr:nvSpPr>
      <xdr:spPr>
        <a:xfrm>
          <a:off x="5586680" y="719667"/>
          <a:ext cx="2063749"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C000"/>
              </a:solidFill>
            </a:rPr>
            <a:t> Total</a:t>
          </a:r>
          <a:r>
            <a:rPr lang="en-US" sz="1400" b="1" baseline="0">
              <a:solidFill>
                <a:srgbClr val="FFC000"/>
              </a:solidFill>
            </a:rPr>
            <a:t> Cost</a:t>
          </a:r>
          <a:r>
            <a:rPr lang="en-US" sz="1400" b="1">
              <a:solidFill>
                <a:srgbClr val="FFC000"/>
              </a:solidFill>
            </a:rPr>
            <a:t> </a:t>
          </a:r>
        </a:p>
      </xdr:txBody>
    </xdr:sp>
    <xdr:clientData/>
  </xdr:twoCellAnchor>
  <xdr:twoCellAnchor>
    <xdr:from>
      <xdr:col>8</xdr:col>
      <xdr:colOff>130981</xdr:colOff>
      <xdr:row>5</xdr:row>
      <xdr:rowOff>164043</xdr:rowOff>
    </xdr:from>
    <xdr:to>
      <xdr:col>12</xdr:col>
      <xdr:colOff>130981</xdr:colOff>
      <xdr:row>8</xdr:row>
      <xdr:rowOff>1</xdr:rowOff>
    </xdr:to>
    <xdr:sp macro="" textlink="'Pivot Table'!F5">
      <xdr:nvSpPr>
        <xdr:cNvPr id="40" name="TextBox 39">
          <a:extLst>
            <a:ext uri="{FF2B5EF4-FFF2-40B4-BE49-F238E27FC236}">
              <a16:creationId xmlns:a16="http://schemas.microsoft.com/office/drawing/2014/main" id="{4405FA33-6CBD-484B-8109-419E635EDA2D}"/>
            </a:ext>
          </a:extLst>
        </xdr:cNvPr>
        <xdr:cNvSpPr txBox="1"/>
      </xdr:nvSpPr>
      <xdr:spPr>
        <a:xfrm>
          <a:off x="5634314" y="1063626"/>
          <a:ext cx="2751667" cy="37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7C238B-C959-4E12-B5F8-29690D82A855}" type="TxLink">
            <a:rPr lang="en-US" sz="2000" b="1" i="0" u="none" strike="noStrike">
              <a:solidFill>
                <a:schemeClr val="bg1"/>
              </a:solidFill>
              <a:latin typeface="Tw Cen MT"/>
            </a:rPr>
            <a:pPr/>
            <a:t> ₦ 8,348,167,350 </a:t>
          </a:fld>
          <a:endParaRPr lang="en-US" sz="1600">
            <a:solidFill>
              <a:schemeClr val="bg1"/>
            </a:solidFill>
          </a:endParaRPr>
        </a:p>
      </xdr:txBody>
    </xdr:sp>
    <xdr:clientData/>
  </xdr:twoCellAnchor>
  <xdr:twoCellAnchor editAs="oneCell">
    <xdr:from>
      <xdr:col>2</xdr:col>
      <xdr:colOff>682627</xdr:colOff>
      <xdr:row>4</xdr:row>
      <xdr:rowOff>68285</xdr:rowOff>
    </xdr:from>
    <xdr:to>
      <xdr:col>3</xdr:col>
      <xdr:colOff>595314</xdr:colOff>
      <xdr:row>7</xdr:row>
      <xdr:rowOff>166688</xdr:rowOff>
    </xdr:to>
    <xdr:pic>
      <xdr:nvPicPr>
        <xdr:cNvPr id="42" name="Picture 41">
          <a:extLst>
            <a:ext uri="{FF2B5EF4-FFF2-40B4-BE49-F238E27FC236}">
              <a16:creationId xmlns:a16="http://schemas.microsoft.com/office/drawing/2014/main" id="{278ECB47-99DC-4E60-8963-1921E3140D4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58460" y="787952"/>
          <a:ext cx="600604" cy="638153"/>
        </a:xfrm>
        <a:prstGeom prst="rect">
          <a:avLst/>
        </a:prstGeom>
      </xdr:spPr>
    </xdr:pic>
    <xdr:clientData/>
  </xdr:twoCellAnchor>
  <xdr:twoCellAnchor>
    <xdr:from>
      <xdr:col>12</xdr:col>
      <xdr:colOff>107154</xdr:colOff>
      <xdr:row>5</xdr:row>
      <xdr:rowOff>164043</xdr:rowOff>
    </xdr:from>
    <xdr:to>
      <xdr:col>15</xdr:col>
      <xdr:colOff>107154</xdr:colOff>
      <xdr:row>8</xdr:row>
      <xdr:rowOff>1</xdr:rowOff>
    </xdr:to>
    <xdr:sp macro="" textlink="'Pivot Table'!H5">
      <xdr:nvSpPr>
        <xdr:cNvPr id="43" name="TextBox 42">
          <a:extLst>
            <a:ext uri="{FF2B5EF4-FFF2-40B4-BE49-F238E27FC236}">
              <a16:creationId xmlns:a16="http://schemas.microsoft.com/office/drawing/2014/main" id="{5DC2D3AC-8BEA-4C1A-B8B1-F0B516350B51}"/>
            </a:ext>
          </a:extLst>
        </xdr:cNvPr>
        <xdr:cNvSpPr txBox="1"/>
      </xdr:nvSpPr>
      <xdr:spPr>
        <a:xfrm>
          <a:off x="8362154" y="1063626"/>
          <a:ext cx="2063750" cy="37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052DA5-3B98-423E-B8F5-946406C67FC5}" type="TxLink">
            <a:rPr lang="en-US" sz="2000" b="1" i="0" u="none" strike="noStrike">
              <a:solidFill>
                <a:schemeClr val="bg1"/>
              </a:solidFill>
              <a:latin typeface="Tw Cen MT"/>
            </a:rPr>
            <a:pPr/>
            <a:t>1017885</a:t>
          </a:fld>
          <a:endParaRPr lang="en-US" sz="2400">
            <a:solidFill>
              <a:schemeClr val="bg1"/>
            </a:solidFill>
          </a:endParaRPr>
        </a:p>
      </xdr:txBody>
    </xdr:sp>
    <xdr:clientData/>
  </xdr:twoCellAnchor>
  <xdr:twoCellAnchor>
    <xdr:from>
      <xdr:col>12</xdr:col>
      <xdr:colOff>402425</xdr:colOff>
      <xdr:row>4</xdr:row>
      <xdr:rowOff>21434</xdr:rowOff>
    </xdr:from>
    <xdr:to>
      <xdr:col>15</xdr:col>
      <xdr:colOff>402424</xdr:colOff>
      <xdr:row>7</xdr:row>
      <xdr:rowOff>45247</xdr:rowOff>
    </xdr:to>
    <xdr:sp macro="" textlink="">
      <xdr:nvSpPr>
        <xdr:cNvPr id="44" name="TextBox 43">
          <a:extLst>
            <a:ext uri="{FF2B5EF4-FFF2-40B4-BE49-F238E27FC236}">
              <a16:creationId xmlns:a16="http://schemas.microsoft.com/office/drawing/2014/main" id="{0D0D3402-BC30-4311-8E93-ED5E51BB32C3}"/>
            </a:ext>
          </a:extLst>
        </xdr:cNvPr>
        <xdr:cNvSpPr txBox="1"/>
      </xdr:nvSpPr>
      <xdr:spPr>
        <a:xfrm>
          <a:off x="8657425" y="741101"/>
          <a:ext cx="2063749"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C000"/>
              </a:solidFill>
            </a:rPr>
            <a:t>Unit Sold</a:t>
          </a:r>
        </a:p>
      </xdr:txBody>
    </xdr:sp>
    <xdr:clientData/>
  </xdr:twoCellAnchor>
  <xdr:twoCellAnchor>
    <xdr:from>
      <xdr:col>2</xdr:col>
      <xdr:colOff>583399</xdr:colOff>
      <xdr:row>0</xdr:row>
      <xdr:rowOff>32800</xdr:rowOff>
    </xdr:from>
    <xdr:to>
      <xdr:col>11</xdr:col>
      <xdr:colOff>583399</xdr:colOff>
      <xdr:row>2</xdr:row>
      <xdr:rowOff>23813</xdr:rowOff>
    </xdr:to>
    <xdr:sp macro="" textlink="">
      <xdr:nvSpPr>
        <xdr:cNvPr id="45" name="TextBox 44">
          <a:extLst>
            <a:ext uri="{FF2B5EF4-FFF2-40B4-BE49-F238E27FC236}">
              <a16:creationId xmlns:a16="http://schemas.microsoft.com/office/drawing/2014/main" id="{D7854171-84CF-4F9E-9B67-87E952B27D95}"/>
            </a:ext>
          </a:extLst>
        </xdr:cNvPr>
        <xdr:cNvSpPr txBox="1"/>
      </xdr:nvSpPr>
      <xdr:spPr>
        <a:xfrm>
          <a:off x="1959232" y="32800"/>
          <a:ext cx="6191250" cy="350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aseline="0">
              <a:solidFill>
                <a:schemeClr val="bg1"/>
              </a:solidFill>
              <a:effectLst/>
              <a:latin typeface="+mn-lt"/>
              <a:ea typeface="+mn-ea"/>
              <a:cs typeface="+mn-cs"/>
            </a:rPr>
            <a:t>      Afrimart Sales Performance Dashboard</a:t>
          </a:r>
          <a:endParaRPr lang="en-US" sz="2400">
            <a:solidFill>
              <a:schemeClr val="bg1"/>
            </a:solidFill>
            <a:effectLst/>
          </a:endParaRPr>
        </a:p>
      </xdr:txBody>
    </xdr:sp>
    <xdr:clientData/>
  </xdr:twoCellAnchor>
  <xdr:twoCellAnchor editAs="oneCell">
    <xdr:from>
      <xdr:col>2</xdr:col>
      <xdr:colOff>275171</xdr:colOff>
      <xdr:row>0</xdr:row>
      <xdr:rowOff>76902</xdr:rowOff>
    </xdr:from>
    <xdr:to>
      <xdr:col>3</xdr:col>
      <xdr:colOff>418046</xdr:colOff>
      <xdr:row>2</xdr:row>
      <xdr:rowOff>109803</xdr:rowOff>
    </xdr:to>
    <xdr:pic>
      <xdr:nvPicPr>
        <xdr:cNvPr id="46" name="Picture 45">
          <a:extLst>
            <a:ext uri="{FF2B5EF4-FFF2-40B4-BE49-F238E27FC236}">
              <a16:creationId xmlns:a16="http://schemas.microsoft.com/office/drawing/2014/main" id="{6BDC6DB4-F872-457B-829E-71899A780D6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1651004" y="76902"/>
          <a:ext cx="830792" cy="392734"/>
        </a:xfrm>
        <a:prstGeom prst="rect">
          <a:avLst/>
        </a:prstGeom>
      </xdr:spPr>
    </xdr:pic>
    <xdr:clientData/>
  </xdr:twoCellAnchor>
  <xdr:twoCellAnchor>
    <xdr:from>
      <xdr:col>16</xdr:col>
      <xdr:colOff>150005</xdr:colOff>
      <xdr:row>4</xdr:row>
      <xdr:rowOff>42868</xdr:rowOff>
    </xdr:from>
    <xdr:to>
      <xdr:col>19</xdr:col>
      <xdr:colOff>150004</xdr:colOff>
      <xdr:row>7</xdr:row>
      <xdr:rowOff>66681</xdr:rowOff>
    </xdr:to>
    <xdr:sp macro="" textlink="">
      <xdr:nvSpPr>
        <xdr:cNvPr id="47" name="TextBox 46">
          <a:extLst>
            <a:ext uri="{FF2B5EF4-FFF2-40B4-BE49-F238E27FC236}">
              <a16:creationId xmlns:a16="http://schemas.microsoft.com/office/drawing/2014/main" id="{E815FC9D-92BA-4A31-9F3F-42EAAB1C9016}"/>
            </a:ext>
          </a:extLst>
        </xdr:cNvPr>
        <xdr:cNvSpPr txBox="1"/>
      </xdr:nvSpPr>
      <xdr:spPr>
        <a:xfrm>
          <a:off x="11156672" y="762535"/>
          <a:ext cx="2063749"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C000"/>
              </a:solidFill>
            </a:rPr>
            <a:t>Profit Margin</a:t>
          </a:r>
        </a:p>
      </xdr:txBody>
    </xdr:sp>
    <xdr:clientData/>
  </xdr:twoCellAnchor>
  <xdr:twoCellAnchor>
    <xdr:from>
      <xdr:col>16</xdr:col>
      <xdr:colOff>130964</xdr:colOff>
      <xdr:row>5</xdr:row>
      <xdr:rowOff>150813</xdr:rowOff>
    </xdr:from>
    <xdr:to>
      <xdr:col>19</xdr:col>
      <xdr:colOff>130964</xdr:colOff>
      <xdr:row>7</xdr:row>
      <xdr:rowOff>166688</xdr:rowOff>
    </xdr:to>
    <xdr:sp macro="" textlink="'Pivot Table'!I2">
      <xdr:nvSpPr>
        <xdr:cNvPr id="48" name="TextBox 47">
          <a:extLst>
            <a:ext uri="{FF2B5EF4-FFF2-40B4-BE49-F238E27FC236}">
              <a16:creationId xmlns:a16="http://schemas.microsoft.com/office/drawing/2014/main" id="{2D6C0B70-D626-4ADB-89F6-D34BB9E4B875}"/>
            </a:ext>
          </a:extLst>
        </xdr:cNvPr>
        <xdr:cNvSpPr txBox="1"/>
      </xdr:nvSpPr>
      <xdr:spPr>
        <a:xfrm>
          <a:off x="11137631" y="1050396"/>
          <a:ext cx="2063750" cy="375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9256A0-F044-4007-8BF9-12E8FA1D53D5}" type="TxLink">
            <a:rPr lang="en-US" sz="2000" b="1" i="0" u="none" strike="noStrike">
              <a:solidFill>
                <a:schemeClr val="bg1"/>
              </a:solidFill>
              <a:latin typeface="Tw Cen MT"/>
            </a:rPr>
            <a:pPr/>
            <a:t>20.09%</a:t>
          </a:fld>
          <a:endParaRPr lang="en-US" sz="4400" b="1">
            <a:solidFill>
              <a:schemeClr val="bg1"/>
            </a:solidFill>
          </a:endParaRPr>
        </a:p>
      </xdr:txBody>
    </xdr:sp>
    <xdr:clientData/>
  </xdr:twoCellAnchor>
  <xdr:twoCellAnchor editAs="oneCell">
    <xdr:from>
      <xdr:col>11</xdr:col>
      <xdr:colOff>382983</xdr:colOff>
      <xdr:row>5</xdr:row>
      <xdr:rowOff>7937</xdr:rowOff>
    </xdr:from>
    <xdr:to>
      <xdr:col>12</xdr:col>
      <xdr:colOff>47624</xdr:colOff>
      <xdr:row>7</xdr:row>
      <xdr:rowOff>23812</xdr:rowOff>
    </xdr:to>
    <xdr:pic>
      <xdr:nvPicPr>
        <xdr:cNvPr id="49" name="Picture 48">
          <a:extLst>
            <a:ext uri="{FF2B5EF4-FFF2-40B4-BE49-F238E27FC236}">
              <a16:creationId xmlns:a16="http://schemas.microsoft.com/office/drawing/2014/main" id="{2BBF9BD5-EBCF-4A21-86E7-8E9F93B9005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950066" y="907520"/>
          <a:ext cx="352558" cy="375709"/>
        </a:xfrm>
        <a:prstGeom prst="rect">
          <a:avLst/>
        </a:prstGeom>
      </xdr:spPr>
    </xdr:pic>
    <xdr:clientData/>
  </xdr:twoCellAnchor>
  <xdr:twoCellAnchor>
    <xdr:from>
      <xdr:col>17</xdr:col>
      <xdr:colOff>409155</xdr:colOff>
      <xdr:row>6</xdr:row>
      <xdr:rowOff>61826</xdr:rowOff>
    </xdr:from>
    <xdr:to>
      <xdr:col>17</xdr:col>
      <xdr:colOff>547689</xdr:colOff>
      <xdr:row>7</xdr:row>
      <xdr:rowOff>95249</xdr:rowOff>
    </xdr:to>
    <xdr:sp macro="" textlink="">
      <xdr:nvSpPr>
        <xdr:cNvPr id="50" name="Arrow: Up 49">
          <a:extLst>
            <a:ext uri="{FF2B5EF4-FFF2-40B4-BE49-F238E27FC236}">
              <a16:creationId xmlns:a16="http://schemas.microsoft.com/office/drawing/2014/main" id="{386F0008-ECA7-4535-A2E3-52C50109D2E3}"/>
            </a:ext>
          </a:extLst>
        </xdr:cNvPr>
        <xdr:cNvSpPr/>
      </xdr:nvSpPr>
      <xdr:spPr>
        <a:xfrm>
          <a:off x="12103738" y="1141326"/>
          <a:ext cx="138534" cy="213340"/>
        </a:xfrm>
        <a:prstGeom prst="upArrow">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0</xdr:row>
      <xdr:rowOff>138907</xdr:rowOff>
    </xdr:from>
    <xdr:to>
      <xdr:col>14</xdr:col>
      <xdr:colOff>0</xdr:colOff>
      <xdr:row>2</xdr:row>
      <xdr:rowOff>154781</xdr:rowOff>
    </xdr:to>
    <xdr:sp macro="" textlink="">
      <xdr:nvSpPr>
        <xdr:cNvPr id="51" name="Rectangle: Rounded Corners 50">
          <a:extLst>
            <a:ext uri="{FF2B5EF4-FFF2-40B4-BE49-F238E27FC236}">
              <a16:creationId xmlns:a16="http://schemas.microsoft.com/office/drawing/2014/main" id="{7F3D885F-7CA9-4854-AA62-8D9A379AB897}"/>
            </a:ext>
          </a:extLst>
        </xdr:cNvPr>
        <xdr:cNvSpPr/>
      </xdr:nvSpPr>
      <xdr:spPr>
        <a:xfrm>
          <a:off x="7567083" y="138907"/>
          <a:ext cx="2063750" cy="375707"/>
        </a:xfrm>
        <a:prstGeom prst="roundRect">
          <a:avLst/>
        </a:prstGeom>
        <a:solidFill>
          <a:srgbClr val="1736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C000"/>
            </a:solidFill>
          </a:endParaRPr>
        </a:p>
      </xdr:txBody>
    </xdr:sp>
    <xdr:clientData/>
  </xdr:twoCellAnchor>
  <xdr:twoCellAnchor>
    <xdr:from>
      <xdr:col>11</xdr:col>
      <xdr:colOff>261945</xdr:colOff>
      <xdr:row>0</xdr:row>
      <xdr:rowOff>115622</xdr:rowOff>
    </xdr:from>
    <xdr:to>
      <xdr:col>14</xdr:col>
      <xdr:colOff>297663</xdr:colOff>
      <xdr:row>2</xdr:row>
      <xdr:rowOff>119064</xdr:rowOff>
    </xdr:to>
    <xdr:sp macro="" textlink="">
      <xdr:nvSpPr>
        <xdr:cNvPr id="52" name="TextBox 51">
          <a:hlinkClick xmlns:r="http://schemas.openxmlformats.org/officeDocument/2006/relationships" r:id="rId10"/>
          <a:extLst>
            <a:ext uri="{FF2B5EF4-FFF2-40B4-BE49-F238E27FC236}">
              <a16:creationId xmlns:a16="http://schemas.microsoft.com/office/drawing/2014/main" id="{5544421A-EDCA-489D-B866-B47F4D18C8AE}"/>
            </a:ext>
          </a:extLst>
        </xdr:cNvPr>
        <xdr:cNvSpPr txBox="1"/>
      </xdr:nvSpPr>
      <xdr:spPr>
        <a:xfrm>
          <a:off x="7829028" y="115622"/>
          <a:ext cx="2099468" cy="363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C000"/>
              </a:solidFill>
            </a:rPr>
            <a:t>ViewPivot Table</a:t>
          </a:r>
        </a:p>
      </xdr:txBody>
    </xdr:sp>
    <xdr:clientData/>
  </xdr:twoCellAnchor>
  <xdr:twoCellAnchor>
    <xdr:from>
      <xdr:col>14</xdr:col>
      <xdr:colOff>107154</xdr:colOff>
      <xdr:row>0</xdr:row>
      <xdr:rowOff>115094</xdr:rowOff>
    </xdr:from>
    <xdr:to>
      <xdr:col>18</xdr:col>
      <xdr:colOff>0</xdr:colOff>
      <xdr:row>2</xdr:row>
      <xdr:rowOff>130968</xdr:rowOff>
    </xdr:to>
    <xdr:sp macro="" textlink="">
      <xdr:nvSpPr>
        <xdr:cNvPr id="54" name="Rectangle: Rounded Corners 53">
          <a:extLst>
            <a:ext uri="{FF2B5EF4-FFF2-40B4-BE49-F238E27FC236}">
              <a16:creationId xmlns:a16="http://schemas.microsoft.com/office/drawing/2014/main" id="{0ABD993D-98EF-4815-901D-6CD1D6785EBD}"/>
            </a:ext>
          </a:extLst>
        </xdr:cNvPr>
        <xdr:cNvSpPr/>
      </xdr:nvSpPr>
      <xdr:spPr>
        <a:xfrm>
          <a:off x="9737987" y="115094"/>
          <a:ext cx="2644513" cy="375707"/>
        </a:xfrm>
        <a:prstGeom prst="roundRect">
          <a:avLst/>
        </a:prstGeom>
        <a:solidFill>
          <a:srgbClr val="1736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250026</xdr:colOff>
      <xdr:row>0</xdr:row>
      <xdr:rowOff>125149</xdr:rowOff>
    </xdr:from>
    <xdr:to>
      <xdr:col>18</xdr:col>
      <xdr:colOff>83341</xdr:colOff>
      <xdr:row>2</xdr:row>
      <xdr:rowOff>128591</xdr:rowOff>
    </xdr:to>
    <xdr:sp macro="" textlink="">
      <xdr:nvSpPr>
        <xdr:cNvPr id="53" name="TextBox 52">
          <a:hlinkClick xmlns:r="http://schemas.openxmlformats.org/officeDocument/2006/relationships" r:id="rId11"/>
          <a:extLst>
            <a:ext uri="{FF2B5EF4-FFF2-40B4-BE49-F238E27FC236}">
              <a16:creationId xmlns:a16="http://schemas.microsoft.com/office/drawing/2014/main" id="{BF5008B3-2F49-4EE2-BAF9-D5FD37EC7169}"/>
            </a:ext>
          </a:extLst>
        </xdr:cNvPr>
        <xdr:cNvSpPr txBox="1"/>
      </xdr:nvSpPr>
      <xdr:spPr>
        <a:xfrm>
          <a:off x="9880859" y="125149"/>
          <a:ext cx="2584982" cy="363275"/>
        </a:xfrm>
        <a:prstGeom prst="rect">
          <a:avLst/>
        </a:prstGeom>
        <a:solidFill>
          <a:srgbClr val="17365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C000"/>
              </a:solidFill>
            </a:rPr>
            <a:t>View-Dataset Table</a:t>
          </a:r>
        </a:p>
      </xdr:txBody>
    </xdr:sp>
    <xdr:clientData/>
  </xdr:twoCellAnchor>
  <xdr:twoCellAnchor>
    <xdr:from>
      <xdr:col>2</xdr:col>
      <xdr:colOff>285748</xdr:colOff>
      <xdr:row>42</xdr:row>
      <xdr:rowOff>111125</xdr:rowOff>
    </xdr:from>
    <xdr:to>
      <xdr:col>19</xdr:col>
      <xdr:colOff>285747</xdr:colOff>
      <xdr:row>48</xdr:row>
      <xdr:rowOff>158751</xdr:rowOff>
    </xdr:to>
    <xdr:sp macro="" textlink="">
      <xdr:nvSpPr>
        <xdr:cNvPr id="56" name="Rectangle: Rounded Corners 55">
          <a:extLst>
            <a:ext uri="{FF2B5EF4-FFF2-40B4-BE49-F238E27FC236}">
              <a16:creationId xmlns:a16="http://schemas.microsoft.com/office/drawing/2014/main" id="{94792777-FD11-4082-BBF0-3F16BC6F9D27}"/>
            </a:ext>
          </a:extLst>
        </xdr:cNvPr>
        <xdr:cNvSpPr/>
      </xdr:nvSpPr>
      <xdr:spPr>
        <a:xfrm>
          <a:off x="1661581" y="7667625"/>
          <a:ext cx="11694583" cy="1127126"/>
        </a:xfrm>
        <a:prstGeom prst="roundRect">
          <a:avLst>
            <a:gd name="adj" fmla="val 11961"/>
          </a:avLst>
        </a:prstGeom>
        <a:solidFill>
          <a:srgbClr val="002060"/>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75000"/>
              </a:schemeClr>
            </a:solidFill>
          </a:endParaRPr>
        </a:p>
      </xdr:txBody>
    </xdr:sp>
    <xdr:clientData/>
  </xdr:twoCellAnchor>
  <xdr:twoCellAnchor>
    <xdr:from>
      <xdr:col>8</xdr:col>
      <xdr:colOff>476250</xdr:colOff>
      <xdr:row>42</xdr:row>
      <xdr:rowOff>153464</xdr:rowOff>
    </xdr:from>
    <xdr:to>
      <xdr:col>14</xdr:col>
      <xdr:colOff>476250</xdr:colOff>
      <xdr:row>44</xdr:row>
      <xdr:rowOff>169340</xdr:rowOff>
    </xdr:to>
    <xdr:sp macro="" textlink="">
      <xdr:nvSpPr>
        <xdr:cNvPr id="57" name="TextBox 56">
          <a:extLst>
            <a:ext uri="{FF2B5EF4-FFF2-40B4-BE49-F238E27FC236}">
              <a16:creationId xmlns:a16="http://schemas.microsoft.com/office/drawing/2014/main" id="{01535397-14B7-493C-BB3C-6FADB1B93ADB}"/>
            </a:ext>
          </a:extLst>
        </xdr:cNvPr>
        <xdr:cNvSpPr txBox="1"/>
      </xdr:nvSpPr>
      <xdr:spPr>
        <a:xfrm>
          <a:off x="5979583" y="7709964"/>
          <a:ext cx="4127500" cy="37570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Sales Insights</a:t>
          </a:r>
        </a:p>
      </xdr:txBody>
    </xdr:sp>
    <xdr:clientData/>
  </xdr:twoCellAnchor>
  <xdr:twoCellAnchor>
    <xdr:from>
      <xdr:col>3</xdr:col>
      <xdr:colOff>0</xdr:colOff>
      <xdr:row>43</xdr:row>
      <xdr:rowOff>156103</xdr:rowOff>
    </xdr:from>
    <xdr:to>
      <xdr:col>8</xdr:col>
      <xdr:colOff>0</xdr:colOff>
      <xdr:row>47</xdr:row>
      <xdr:rowOff>0</xdr:rowOff>
    </xdr:to>
    <xdr:sp macro="" textlink="">
      <xdr:nvSpPr>
        <xdr:cNvPr id="58" name="TextBox 57">
          <a:extLst>
            <a:ext uri="{FF2B5EF4-FFF2-40B4-BE49-F238E27FC236}">
              <a16:creationId xmlns:a16="http://schemas.microsoft.com/office/drawing/2014/main" id="{484FDA3E-A8C3-4419-93A1-C02D23D74754}"/>
            </a:ext>
          </a:extLst>
        </xdr:cNvPr>
        <xdr:cNvSpPr txBox="1"/>
      </xdr:nvSpPr>
      <xdr:spPr>
        <a:xfrm>
          <a:off x="2063750" y="7892520"/>
          <a:ext cx="3439583" cy="56356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effectLst/>
              <a:latin typeface="+mn-lt"/>
              <a:ea typeface="+mn-ea"/>
              <a:cs typeface="+mn-cs"/>
            </a:rPr>
            <a:t>Top-performing Country: </a:t>
          </a:r>
          <a:endParaRPr lang="en-US" sz="2400" b="1">
            <a:solidFill>
              <a:schemeClr val="bg1"/>
            </a:solidFill>
          </a:endParaRPr>
        </a:p>
        <a:p>
          <a:pPr algn="l"/>
          <a:r>
            <a:rPr lang="en-US" sz="1800" b="1">
              <a:solidFill>
                <a:schemeClr val="bg1"/>
              </a:solidFill>
            </a:rPr>
            <a:t> </a:t>
          </a:r>
        </a:p>
      </xdr:txBody>
    </xdr:sp>
    <xdr:clientData/>
  </xdr:twoCellAnchor>
  <xdr:twoCellAnchor editAs="oneCell">
    <xdr:from>
      <xdr:col>2</xdr:col>
      <xdr:colOff>148169</xdr:colOff>
      <xdr:row>43</xdr:row>
      <xdr:rowOff>105842</xdr:rowOff>
    </xdr:from>
    <xdr:to>
      <xdr:col>3</xdr:col>
      <xdr:colOff>301573</xdr:colOff>
      <xdr:row>47</xdr:row>
      <xdr:rowOff>137304</xdr:rowOff>
    </xdr:to>
    <xdr:pic>
      <xdr:nvPicPr>
        <xdr:cNvPr id="61" name="Picture 60">
          <a:extLst>
            <a:ext uri="{FF2B5EF4-FFF2-40B4-BE49-F238E27FC236}">
              <a16:creationId xmlns:a16="http://schemas.microsoft.com/office/drawing/2014/main" id="{744314C4-C8D1-494B-A9FE-944C91FC7B94}"/>
            </a:ext>
          </a:extLst>
        </xdr:cNvPr>
        <xdr:cNvPicPr>
          <a:picLocks noChangeAspect="1"/>
        </xdr:cNvPicPr>
      </xdr:nvPicPr>
      <xdr:blipFill>
        <a:blip xmlns:r="http://schemas.openxmlformats.org/officeDocument/2006/relationships" r:embed="rId12">
          <a:duotone>
            <a:prstClr val="black"/>
            <a:schemeClr val="accent6">
              <a:tint val="45000"/>
              <a:satMod val="400000"/>
            </a:schemeClr>
          </a:duotone>
        </a:blip>
        <a:stretch>
          <a:fillRect/>
        </a:stretch>
      </xdr:blipFill>
      <xdr:spPr>
        <a:xfrm>
          <a:off x="1524002" y="7842259"/>
          <a:ext cx="841321" cy="751128"/>
        </a:xfrm>
        <a:prstGeom prst="rect">
          <a:avLst/>
        </a:prstGeom>
      </xdr:spPr>
    </xdr:pic>
    <xdr:clientData/>
  </xdr:twoCellAnchor>
  <xdr:twoCellAnchor editAs="oneCell">
    <xdr:from>
      <xdr:col>2</xdr:col>
      <xdr:colOff>137579</xdr:colOff>
      <xdr:row>3</xdr:row>
      <xdr:rowOff>72771</xdr:rowOff>
    </xdr:from>
    <xdr:to>
      <xdr:col>3</xdr:col>
      <xdr:colOff>290983</xdr:colOff>
      <xdr:row>7</xdr:row>
      <xdr:rowOff>104232</xdr:rowOff>
    </xdr:to>
    <xdr:pic>
      <xdr:nvPicPr>
        <xdr:cNvPr id="62" name="Picture 61">
          <a:extLst>
            <a:ext uri="{FF2B5EF4-FFF2-40B4-BE49-F238E27FC236}">
              <a16:creationId xmlns:a16="http://schemas.microsoft.com/office/drawing/2014/main" id="{C3D8BA33-31AF-4A1D-BDE0-E0052EA66233}"/>
            </a:ext>
          </a:extLst>
        </xdr:cNvPr>
        <xdr:cNvPicPr>
          <a:picLocks noChangeAspect="1"/>
        </xdr:cNvPicPr>
      </xdr:nvPicPr>
      <xdr:blipFill>
        <a:blip xmlns:r="http://schemas.openxmlformats.org/officeDocument/2006/relationships" r:embed="rId12"/>
        <a:stretch>
          <a:fillRect/>
        </a:stretch>
      </xdr:blipFill>
      <xdr:spPr>
        <a:xfrm>
          <a:off x="1513412" y="612521"/>
          <a:ext cx="841321" cy="751128"/>
        </a:xfrm>
        <a:prstGeom prst="rect">
          <a:avLst/>
        </a:prstGeom>
      </xdr:spPr>
    </xdr:pic>
    <xdr:clientData/>
  </xdr:twoCellAnchor>
  <xdr:twoCellAnchor>
    <xdr:from>
      <xdr:col>2</xdr:col>
      <xdr:colOff>550330</xdr:colOff>
      <xdr:row>46</xdr:row>
      <xdr:rowOff>60856</xdr:rowOff>
    </xdr:from>
    <xdr:to>
      <xdr:col>7</xdr:col>
      <xdr:colOff>550329</xdr:colOff>
      <xdr:row>49</xdr:row>
      <xdr:rowOff>84669</xdr:rowOff>
    </xdr:to>
    <xdr:sp macro="" textlink="">
      <xdr:nvSpPr>
        <xdr:cNvPr id="63" name="TextBox 62">
          <a:extLst>
            <a:ext uri="{FF2B5EF4-FFF2-40B4-BE49-F238E27FC236}">
              <a16:creationId xmlns:a16="http://schemas.microsoft.com/office/drawing/2014/main" id="{C6152DB6-2ED8-440C-B74A-C2788E78658B}"/>
            </a:ext>
          </a:extLst>
        </xdr:cNvPr>
        <xdr:cNvSpPr txBox="1"/>
      </xdr:nvSpPr>
      <xdr:spPr>
        <a:xfrm>
          <a:off x="1926163" y="8337023"/>
          <a:ext cx="3439583"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1">
              <a:solidFill>
                <a:schemeClr val="bg1"/>
              </a:solidFill>
            </a:rPr>
            <a:t>Highest total profit</a:t>
          </a:r>
          <a:r>
            <a:rPr lang="en-US" sz="1800" b="1" i="1">
              <a:solidFill>
                <a:schemeClr val="bg1"/>
              </a:solidFill>
            </a:rPr>
            <a:t> </a:t>
          </a:r>
        </a:p>
      </xdr:txBody>
    </xdr:sp>
    <xdr:clientData/>
  </xdr:twoCellAnchor>
  <xdr:twoCellAnchor>
    <xdr:from>
      <xdr:col>7</xdr:col>
      <xdr:colOff>634992</xdr:colOff>
      <xdr:row>44</xdr:row>
      <xdr:rowOff>39692</xdr:rowOff>
    </xdr:from>
    <xdr:to>
      <xdr:col>12</xdr:col>
      <xdr:colOff>634992</xdr:colOff>
      <xdr:row>47</xdr:row>
      <xdr:rowOff>63505</xdr:rowOff>
    </xdr:to>
    <xdr:sp macro="" textlink="">
      <xdr:nvSpPr>
        <xdr:cNvPr id="64" name="TextBox 63">
          <a:extLst>
            <a:ext uri="{FF2B5EF4-FFF2-40B4-BE49-F238E27FC236}">
              <a16:creationId xmlns:a16="http://schemas.microsoft.com/office/drawing/2014/main" id="{9DD71693-EFF8-43B8-903B-25DAFEBB745B}"/>
            </a:ext>
          </a:extLst>
        </xdr:cNvPr>
        <xdr:cNvSpPr txBox="1"/>
      </xdr:nvSpPr>
      <xdr:spPr>
        <a:xfrm>
          <a:off x="5450409" y="7956025"/>
          <a:ext cx="3439583" cy="56356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effectLst/>
              <a:latin typeface="+mn-lt"/>
              <a:ea typeface="+mn-ea"/>
              <a:cs typeface="+mn-cs"/>
            </a:rPr>
            <a:t>Strongest Revenue Year: </a:t>
          </a:r>
          <a:endParaRPr lang="en-US" sz="2400" b="1">
            <a:solidFill>
              <a:schemeClr val="bg1"/>
            </a:solidFill>
          </a:endParaRPr>
        </a:p>
        <a:p>
          <a:pPr algn="l"/>
          <a:r>
            <a:rPr lang="en-US" sz="1800" b="1">
              <a:solidFill>
                <a:schemeClr val="bg1"/>
              </a:solidFill>
            </a:rPr>
            <a:t> </a:t>
          </a:r>
        </a:p>
      </xdr:txBody>
    </xdr:sp>
    <xdr:clientData/>
  </xdr:twoCellAnchor>
  <xdr:twoCellAnchor>
    <xdr:from>
      <xdr:col>7</xdr:col>
      <xdr:colOff>550326</xdr:colOff>
      <xdr:row>45</xdr:row>
      <xdr:rowOff>121711</xdr:rowOff>
    </xdr:from>
    <xdr:to>
      <xdr:col>9</xdr:col>
      <xdr:colOff>550326</xdr:colOff>
      <xdr:row>47</xdr:row>
      <xdr:rowOff>137586</xdr:rowOff>
    </xdr:to>
    <xdr:sp macro="" textlink="'Pivot Table'!K49">
      <xdr:nvSpPr>
        <xdr:cNvPr id="65" name="TextBox 64">
          <a:extLst>
            <a:ext uri="{FF2B5EF4-FFF2-40B4-BE49-F238E27FC236}">
              <a16:creationId xmlns:a16="http://schemas.microsoft.com/office/drawing/2014/main" id="{C09769E6-BA88-4F1C-93A7-0104B59182F3}"/>
            </a:ext>
          </a:extLst>
        </xdr:cNvPr>
        <xdr:cNvSpPr txBox="1"/>
      </xdr:nvSpPr>
      <xdr:spPr>
        <a:xfrm>
          <a:off x="5365743" y="8217961"/>
          <a:ext cx="1375833" cy="375708"/>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99AFC8-72F7-444E-A686-FF392309527D}" type="TxLink">
            <a:rPr lang="en-US" sz="1600" b="1" i="0" u="none" strike="noStrike">
              <a:solidFill>
                <a:srgbClr val="FFC000"/>
              </a:solidFill>
              <a:latin typeface="Tw Cen MT"/>
            </a:rPr>
            <a:pPr algn="ctr"/>
            <a:t>2025</a:t>
          </a:fld>
          <a:endParaRPr lang="en-US" sz="2400" b="1">
            <a:solidFill>
              <a:srgbClr val="FFC000"/>
            </a:solidFill>
          </a:endParaRPr>
        </a:p>
      </xdr:txBody>
    </xdr:sp>
    <xdr:clientData/>
  </xdr:twoCellAnchor>
  <xdr:twoCellAnchor>
    <xdr:from>
      <xdr:col>7</xdr:col>
      <xdr:colOff>148160</xdr:colOff>
      <xdr:row>44</xdr:row>
      <xdr:rowOff>148167</xdr:rowOff>
    </xdr:from>
    <xdr:to>
      <xdr:col>8</xdr:col>
      <xdr:colOff>656161</xdr:colOff>
      <xdr:row>49</xdr:row>
      <xdr:rowOff>1</xdr:rowOff>
    </xdr:to>
    <xdr:sp macro="" textlink="">
      <xdr:nvSpPr>
        <xdr:cNvPr id="6145" name="Text Box 1">
          <a:extLst>
            <a:ext uri="{FF2B5EF4-FFF2-40B4-BE49-F238E27FC236}">
              <a16:creationId xmlns:a16="http://schemas.microsoft.com/office/drawing/2014/main" id="{45D8CFB1-589C-496A-9770-4B5BF684D614}"/>
            </a:ext>
          </a:extLst>
        </xdr:cNvPr>
        <xdr:cNvSpPr txBox="1">
          <a:spLocks noChangeArrowheads="1"/>
        </xdr:cNvSpPr>
      </xdr:nvSpPr>
      <xdr:spPr bwMode="auto">
        <a:xfrm>
          <a:off x="4963577" y="8064500"/>
          <a:ext cx="1195917" cy="751418"/>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Tw Cen MT"/>
            </a:rPr>
            <a:t>"</a:t>
          </a:r>
          <a:r>
            <a:rPr lang="en-US" sz="2400" b="0" i="0" u="none" strike="noStrike" baseline="0">
              <a:solidFill>
                <a:srgbClr val="000000"/>
              </a:solidFill>
              <a:latin typeface="Tw Cen MT"/>
            </a:rPr>
            <a:t>📈</a:t>
          </a:r>
          <a:r>
            <a:rPr lang="en-US" sz="1100" b="0" i="0" u="none" strike="noStrike" baseline="0">
              <a:solidFill>
                <a:srgbClr val="000000"/>
              </a:solidFill>
              <a:latin typeface="Tw Cen MT"/>
            </a:rPr>
            <a:t> </a:t>
          </a:r>
        </a:p>
      </xdr:txBody>
    </xdr:sp>
    <xdr:clientData/>
  </xdr:twoCellAnchor>
  <xdr:twoCellAnchor>
    <xdr:from>
      <xdr:col>7</xdr:col>
      <xdr:colOff>582087</xdr:colOff>
      <xdr:row>46</xdr:row>
      <xdr:rowOff>156101</xdr:rowOff>
    </xdr:from>
    <xdr:to>
      <xdr:col>12</xdr:col>
      <xdr:colOff>582087</xdr:colOff>
      <xdr:row>49</xdr:row>
      <xdr:rowOff>179914</xdr:rowOff>
    </xdr:to>
    <xdr:sp macro="" textlink="">
      <xdr:nvSpPr>
        <xdr:cNvPr id="67" name="TextBox 66">
          <a:extLst>
            <a:ext uri="{FF2B5EF4-FFF2-40B4-BE49-F238E27FC236}">
              <a16:creationId xmlns:a16="http://schemas.microsoft.com/office/drawing/2014/main" id="{6E50CA79-AFE0-439D-ABFC-E6F4203E93A9}"/>
            </a:ext>
          </a:extLst>
        </xdr:cNvPr>
        <xdr:cNvSpPr txBox="1"/>
      </xdr:nvSpPr>
      <xdr:spPr>
        <a:xfrm>
          <a:off x="5397504" y="8432268"/>
          <a:ext cx="3439583"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rPr>
            <a:t>Highest annual revenue</a:t>
          </a:r>
          <a:endParaRPr lang="en-US" sz="1800" b="1" i="1">
            <a:solidFill>
              <a:schemeClr val="bg1"/>
            </a:solidFill>
          </a:endParaRPr>
        </a:p>
      </xdr:txBody>
    </xdr:sp>
    <xdr:clientData/>
  </xdr:twoCellAnchor>
  <xdr:twoCellAnchor>
    <xdr:from>
      <xdr:col>13</xdr:col>
      <xdr:colOff>455077</xdr:colOff>
      <xdr:row>45</xdr:row>
      <xdr:rowOff>156104</xdr:rowOff>
    </xdr:from>
    <xdr:to>
      <xdr:col>18</xdr:col>
      <xdr:colOff>455077</xdr:colOff>
      <xdr:row>49</xdr:row>
      <xdr:rowOff>0</xdr:rowOff>
    </xdr:to>
    <xdr:sp macro="" textlink="">
      <xdr:nvSpPr>
        <xdr:cNvPr id="68" name="TextBox 67">
          <a:extLst>
            <a:ext uri="{FF2B5EF4-FFF2-40B4-BE49-F238E27FC236}">
              <a16:creationId xmlns:a16="http://schemas.microsoft.com/office/drawing/2014/main" id="{A50CD193-2EE1-40A8-A3C0-BF3C0B52244F}"/>
            </a:ext>
          </a:extLst>
        </xdr:cNvPr>
        <xdr:cNvSpPr txBox="1"/>
      </xdr:nvSpPr>
      <xdr:spPr>
        <a:xfrm>
          <a:off x="9397994" y="8252354"/>
          <a:ext cx="3439583"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rPr>
            <a:t>Nigeria leads in profitability.</a:t>
          </a:r>
          <a:endParaRPr lang="en-US" sz="1800" b="1" i="1">
            <a:solidFill>
              <a:schemeClr val="bg1"/>
            </a:solidFill>
          </a:endParaRPr>
        </a:p>
      </xdr:txBody>
    </xdr:sp>
    <xdr:clientData/>
  </xdr:twoCellAnchor>
  <xdr:twoCellAnchor>
    <xdr:from>
      <xdr:col>13</xdr:col>
      <xdr:colOff>603250</xdr:colOff>
      <xdr:row>43</xdr:row>
      <xdr:rowOff>134935</xdr:rowOff>
    </xdr:from>
    <xdr:to>
      <xdr:col>18</xdr:col>
      <xdr:colOff>603250</xdr:colOff>
      <xdr:row>46</xdr:row>
      <xdr:rowOff>158748</xdr:rowOff>
    </xdr:to>
    <xdr:sp macro="" textlink="">
      <xdr:nvSpPr>
        <xdr:cNvPr id="69" name="TextBox 68">
          <a:extLst>
            <a:ext uri="{FF2B5EF4-FFF2-40B4-BE49-F238E27FC236}">
              <a16:creationId xmlns:a16="http://schemas.microsoft.com/office/drawing/2014/main" id="{F00E5D47-B6BF-4671-BF57-70D1E37C7DC0}"/>
            </a:ext>
          </a:extLst>
        </xdr:cNvPr>
        <xdr:cNvSpPr txBox="1"/>
      </xdr:nvSpPr>
      <xdr:spPr>
        <a:xfrm>
          <a:off x="9546167" y="7871352"/>
          <a:ext cx="3439583"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BUSINESS TAKEAWAY</a:t>
          </a:r>
          <a:r>
            <a:rPr lang="en-US" sz="1800" b="1">
              <a:solidFill>
                <a:srgbClr val="FFC000"/>
              </a:solidFill>
            </a:rPr>
            <a:t> </a:t>
          </a:r>
        </a:p>
      </xdr:txBody>
    </xdr:sp>
    <xdr:clientData/>
  </xdr:twoCellAnchor>
  <xdr:twoCellAnchor>
    <xdr:from>
      <xdr:col>12</xdr:col>
      <xdr:colOff>660597</xdr:colOff>
      <xdr:row>45</xdr:row>
      <xdr:rowOff>44883</xdr:rowOff>
    </xdr:from>
    <xdr:to>
      <xdr:col>13</xdr:col>
      <xdr:colOff>532313</xdr:colOff>
      <xdr:row>46</xdr:row>
      <xdr:rowOff>165994</xdr:rowOff>
    </xdr:to>
    <xdr:sp macro="" textlink="">
      <xdr:nvSpPr>
        <xdr:cNvPr id="70" name="L-Shape 69">
          <a:extLst>
            <a:ext uri="{FF2B5EF4-FFF2-40B4-BE49-F238E27FC236}">
              <a16:creationId xmlns:a16="http://schemas.microsoft.com/office/drawing/2014/main" id="{929BB8D5-08EF-470D-BA8A-785570FFF4B1}"/>
            </a:ext>
          </a:extLst>
        </xdr:cNvPr>
        <xdr:cNvSpPr/>
      </xdr:nvSpPr>
      <xdr:spPr>
        <a:xfrm rot="19394840">
          <a:off x="8915597" y="8141133"/>
          <a:ext cx="559633" cy="301028"/>
        </a:xfrm>
        <a:prstGeom prst="corner">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84665</xdr:colOff>
      <xdr:row>45</xdr:row>
      <xdr:rowOff>21166</xdr:rowOff>
    </xdr:from>
    <xdr:to>
      <xdr:col>5</xdr:col>
      <xdr:colOff>84665</xdr:colOff>
      <xdr:row>47</xdr:row>
      <xdr:rowOff>37041</xdr:rowOff>
    </xdr:to>
    <xdr:sp macro="" textlink="'Pivot Table'!G56">
      <xdr:nvSpPr>
        <xdr:cNvPr id="60" name="TextBox 59">
          <a:extLst>
            <a:ext uri="{FF2B5EF4-FFF2-40B4-BE49-F238E27FC236}">
              <a16:creationId xmlns:a16="http://schemas.microsoft.com/office/drawing/2014/main" id="{BB707874-F669-41B9-8D8A-CCE957CEF6B2}"/>
            </a:ext>
          </a:extLst>
        </xdr:cNvPr>
        <xdr:cNvSpPr txBox="1"/>
      </xdr:nvSpPr>
      <xdr:spPr>
        <a:xfrm>
          <a:off x="2148415" y="8117416"/>
          <a:ext cx="1375833" cy="375708"/>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33393D-426E-4BE4-AAF2-4675C49F313C}" type="TxLink">
            <a:rPr lang="en-US" sz="1600" b="1" i="0" u="none" strike="noStrike">
              <a:solidFill>
                <a:srgbClr val="FFC000"/>
              </a:solidFill>
              <a:latin typeface="Tw Cen MT"/>
            </a:rPr>
            <a:pPr/>
            <a:t> </a:t>
          </a:fld>
          <a:r>
            <a:rPr lang="en-US" sz="1600" b="1" i="0" u="none" strike="noStrike">
              <a:solidFill>
                <a:srgbClr val="FFC000"/>
              </a:solidFill>
              <a:latin typeface="Tw Cen MT"/>
            </a:rPr>
            <a:t>NIigeria</a:t>
          </a:r>
          <a:endParaRPr lang="en-US" sz="1600" b="1">
            <a:solidFill>
              <a:srgbClr val="FFC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0</xdr:colOff>
      <xdr:row>34</xdr:row>
      <xdr:rowOff>0</xdr:rowOff>
    </xdr:to>
    <xdr:sp macro="" textlink="">
      <xdr:nvSpPr>
        <xdr:cNvPr id="4" name="TextBox 3">
          <a:extLst>
            <a:ext uri="{FF2B5EF4-FFF2-40B4-BE49-F238E27FC236}">
              <a16:creationId xmlns:a16="http://schemas.microsoft.com/office/drawing/2014/main" id="{949D4D1F-0A3E-400C-8AF8-451CBC8889F6}"/>
            </a:ext>
          </a:extLst>
        </xdr:cNvPr>
        <xdr:cNvSpPr txBox="1"/>
      </xdr:nvSpPr>
      <xdr:spPr>
        <a:xfrm>
          <a:off x="685800" y="361950"/>
          <a:ext cx="10287000" cy="579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br>
            <a:rPr lang="en-US" sz="1200">
              <a:solidFill>
                <a:schemeClr val="dk1"/>
              </a:solidFill>
              <a:effectLst/>
              <a:latin typeface="+mn-lt"/>
              <a:ea typeface="+mn-ea"/>
              <a:cs typeface="+mn-cs"/>
            </a:rPr>
          </a:br>
          <a:r>
            <a:rPr lang="en-US" sz="1200">
              <a:solidFill>
                <a:schemeClr val="dk1"/>
              </a:solidFill>
              <a:effectLst/>
              <a:latin typeface="+mn-lt"/>
              <a:ea typeface="+mn-ea"/>
              <a:cs typeface="+mn-cs"/>
            </a:rPr>
            <a:t>1. Executive Summary (High-Level KPIs)</a:t>
          </a:r>
        </a:p>
        <a:p>
          <a:pPr rtl="0"/>
          <a:br>
            <a:rPr lang="en-US" sz="1200">
              <a:solidFill>
                <a:schemeClr val="dk1"/>
              </a:solidFill>
              <a:effectLst/>
              <a:latin typeface="+mn-lt"/>
              <a:ea typeface="+mn-ea"/>
              <a:cs typeface="+mn-cs"/>
            </a:rPr>
          </a:br>
          <a:r>
            <a:rPr lang="en-US" sz="1200">
              <a:solidFill>
                <a:schemeClr val="dk1"/>
              </a:solidFill>
              <a:effectLst/>
              <a:latin typeface="+mn-lt"/>
              <a:ea typeface="+mn-ea"/>
              <a:cs typeface="+mn-cs"/>
            </a:rPr>
            <a:t>Total Revenue: ₦10.45 Billion</a:t>
          </a:r>
        </a:p>
        <a:p>
          <a:pPr rtl="0"/>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Total Cost: ₦8.35 Billion</a:t>
          </a:r>
        </a:p>
        <a:p>
          <a:pPr rtl="0"/>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Net Profit: ~₦2.10 Billion</a:t>
          </a:r>
        </a:p>
        <a:p>
          <a:pPr rtl="0"/>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Overall Profit Margin: 20.09%</a:t>
          </a:r>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Volume Sold: 1.02 Million units</a:t>
          </a:r>
        </a:p>
        <a:p>
          <a:pPr rtl="0"/>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2. Regional &amp; Time Performance Insights</a:t>
          </a:r>
        </a:p>
        <a:p>
          <a:pPr rtl="0"/>
          <a:br>
            <a:rPr lang="en-US" sz="1200">
              <a:solidFill>
                <a:schemeClr val="dk1"/>
              </a:solidFill>
              <a:effectLst/>
              <a:latin typeface="+mn-lt"/>
              <a:ea typeface="+mn-ea"/>
              <a:cs typeface="+mn-cs"/>
            </a:rPr>
          </a:br>
          <a:r>
            <a:rPr lang="en-US" sz="1200">
              <a:solidFill>
                <a:schemeClr val="dk1"/>
              </a:solidFill>
              <a:effectLst/>
              <a:latin typeface="+mn-lt"/>
              <a:ea typeface="+mn-ea"/>
              <a:cs typeface="+mn-cs"/>
            </a:rPr>
            <a:t>Top Market Driver: Nigeria is the highest performer, contributing the largest share of both total profit and overall revenue.</a:t>
          </a:r>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Peak Performance Period: 2025 was the strongest revenue year, outperforming 2024 and 2026.</a:t>
          </a:r>
        </a:p>
        <a:p>
          <a:pPr rtl="0"/>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Opportunities for Growth: Markets such as Senegal, Rwanda, and Uganda are yielding lower profit figures, signaling potential distribution or pricing bottlenecks.</a:t>
          </a:r>
        </a:p>
        <a:p>
          <a:pPr rtl="0"/>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3. Product Performance Analysis</a:t>
          </a:r>
        </a:p>
        <a:p>
          <a:pPr rtl="0"/>
          <a:br>
            <a:rPr lang="en-US" sz="1200">
              <a:solidFill>
                <a:schemeClr val="dk1"/>
              </a:solidFill>
              <a:effectLst/>
              <a:latin typeface="+mn-lt"/>
              <a:ea typeface="+mn-ea"/>
              <a:cs typeface="+mn-cs"/>
            </a:rPr>
          </a:br>
          <a:r>
            <a:rPr lang="en-US" sz="1200">
              <a:solidFill>
                <a:schemeClr val="dk1"/>
              </a:solidFill>
              <a:effectLst/>
              <a:latin typeface="+mn-lt"/>
              <a:ea typeface="+mn-ea"/>
              <a:cs typeface="+mn-cs"/>
            </a:rPr>
            <a:t>High-Volume Products: Fast-moving items like Detergent (1kg) and Garri lead in total units sold.</a:t>
          </a:r>
        </a:p>
        <a:p>
          <a:pPr rtl="0"/>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4. Strategic Business Takeaways &amp; Recommendations</a:t>
          </a:r>
        </a:p>
        <a:p>
          <a:pPr rtl="0"/>
          <a:br>
            <a:rPr lang="en-US" sz="1200">
              <a:solidFill>
                <a:schemeClr val="dk1"/>
              </a:solidFill>
              <a:effectLst/>
              <a:latin typeface="+mn-lt"/>
              <a:ea typeface="+mn-ea"/>
              <a:cs typeface="+mn-cs"/>
            </a:rPr>
          </a:br>
          <a:r>
            <a:rPr lang="en-US" sz="1200">
              <a:solidFill>
                <a:schemeClr val="dk1"/>
              </a:solidFill>
              <a:effectLst/>
              <a:latin typeface="+mn-lt"/>
              <a:ea typeface="+mn-ea"/>
              <a:cs typeface="+mn-cs"/>
            </a:rPr>
            <a:t>Product Mix Replication: Review Nigeria’s successful product mix and evaluate whether top-selling items can be scaled across lagging regional markets.</a:t>
          </a:r>
        </a:p>
        <a:p>
          <a:pPr rtl="0"/>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a:p>
          <a:pPr rtl="0"/>
          <a:r>
            <a:rPr lang="en-US" sz="1200">
              <a:solidFill>
                <a:schemeClr val="dk1"/>
              </a:solidFill>
              <a:effectLst/>
              <a:latin typeface="+mn-lt"/>
              <a:ea typeface="+mn-ea"/>
              <a:cs typeface="+mn-cs"/>
            </a:rPr>
            <a:t>Margin Optimization: Assess supply chain costs in lower-margin regions to protect the overall 20% margin target.</a:t>
          </a:r>
        </a:p>
        <a:p>
          <a:pPr rtl="0"/>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IK" refreshedDate="46296.823674421299" createdVersion="7" refreshedVersion="7" minRefreshableVersion="3" recordCount="700" xr:uid="{CA394CE6-81A1-4F67-B4A1-02151647CD3E}">
  <cacheSource type="worksheet">
    <worksheetSource name="Table1"/>
  </cacheSource>
  <cacheFields count="8">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7" base="6">
        <rangePr groupBy="months" startDate="2024-01-02T00:00:00" endDate="2026-12-30T00:00:00"/>
        <groupItems count="14">
          <s v="&lt;1/2/2024"/>
          <s v="Jan"/>
          <s v="Feb"/>
          <s v="Mar"/>
          <s v="Apr"/>
          <s v="May"/>
          <s v="Jun"/>
          <s v="Jul"/>
          <s v="Aug"/>
          <s v="Sep"/>
          <s v="Oct"/>
          <s v="Nov"/>
          <s v="Dec"/>
          <s v="&gt;12/30/2026"/>
        </groupItems>
      </fieldGroup>
    </cacheField>
    <cacheField name="Years"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455791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52052-E537-4D15-8C62-0401C0210B0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Country" colHeaderCaption="Products">
  <location ref="B27:J39" firstHeaderRow="1" firstDataRow="2" firstDataCol="1"/>
  <pivotFields count="8">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axis="axisCol" showAll="0">
      <items count="8">
        <item x="2"/>
        <item x="6"/>
        <item x="1"/>
        <item x="3"/>
        <item x="0"/>
        <item x="4"/>
        <item x="5"/>
        <item t="default"/>
      </items>
    </pivotField>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0"/>
  </rowFields>
  <rowItems count="11">
    <i>
      <x v="4"/>
    </i>
    <i>
      <x v="8"/>
    </i>
    <i>
      <x/>
    </i>
    <i>
      <x v="3"/>
    </i>
    <i>
      <x v="5"/>
    </i>
    <i>
      <x v="2"/>
    </i>
    <i>
      <x v="9"/>
    </i>
    <i>
      <x v="1"/>
    </i>
    <i>
      <x v="7"/>
    </i>
    <i>
      <x v="6"/>
    </i>
    <i t="grand">
      <x/>
    </i>
  </rowItems>
  <colFields count="1">
    <field x="1"/>
  </colFields>
  <colItems count="8">
    <i>
      <x/>
    </i>
    <i>
      <x v="1"/>
    </i>
    <i>
      <x v="2"/>
    </i>
    <i>
      <x v="3"/>
    </i>
    <i>
      <x v="4"/>
    </i>
    <i>
      <x v="5"/>
    </i>
    <i>
      <x v="6"/>
    </i>
    <i t="grand">
      <x/>
    </i>
  </colItems>
  <dataFields count="1">
    <dataField name="Sum of Revenue" fld="3" baseField="0" baseItem="0" numFmtId="164"/>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1" type="button" dataOnly="0" labelOnly="1" outline="0" axis="axisCol" fieldPosition="0"/>
    </format>
    <format dxfId="11">
      <pivotArea type="topRight" dataOnly="0" labelOnly="1" outline="0"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fieldPosition="0">
        <references count="1">
          <reference field="1" count="0"/>
        </references>
      </pivotArea>
    </format>
    <format dxfId="6">
      <pivotArea dataOnly="0" labelOnly="1" grandCol="1" outline="0" fieldPosition="0"/>
    </format>
  </formats>
  <chartFormats count="7">
    <chartFormat chart="8" format="35" series="1">
      <pivotArea type="data" outline="0" fieldPosition="0">
        <references count="2">
          <reference field="4294967294" count="1" selected="0">
            <x v="0"/>
          </reference>
          <reference field="1" count="1" selected="0">
            <x v="0"/>
          </reference>
        </references>
      </pivotArea>
    </chartFormat>
    <chartFormat chart="8" format="36" series="1">
      <pivotArea type="data" outline="0" fieldPosition="0">
        <references count="2">
          <reference field="4294967294" count="1" selected="0">
            <x v="0"/>
          </reference>
          <reference field="1" count="1" selected="0">
            <x v="1"/>
          </reference>
        </references>
      </pivotArea>
    </chartFormat>
    <chartFormat chart="8" format="37" series="1">
      <pivotArea type="data" outline="0" fieldPosition="0">
        <references count="2">
          <reference field="4294967294" count="1" selected="0">
            <x v="0"/>
          </reference>
          <reference field="1" count="1" selected="0">
            <x v="2"/>
          </reference>
        </references>
      </pivotArea>
    </chartFormat>
    <chartFormat chart="8" format="38" series="1">
      <pivotArea type="data" outline="0" fieldPosition="0">
        <references count="2">
          <reference field="4294967294" count="1" selected="0">
            <x v="0"/>
          </reference>
          <reference field="1" count="1" selected="0">
            <x v="3"/>
          </reference>
        </references>
      </pivotArea>
    </chartFormat>
    <chartFormat chart="8" format="39" series="1">
      <pivotArea type="data" outline="0" fieldPosition="0">
        <references count="2">
          <reference field="4294967294" count="1" selected="0">
            <x v="0"/>
          </reference>
          <reference field="1" count="1" selected="0">
            <x v="4"/>
          </reference>
        </references>
      </pivotArea>
    </chartFormat>
    <chartFormat chart="8" format="40" series="1">
      <pivotArea type="data" outline="0" fieldPosition="0">
        <references count="2">
          <reference field="4294967294" count="1" selected="0">
            <x v="0"/>
          </reference>
          <reference field="1" count="1" selected="0">
            <x v="5"/>
          </reference>
        </references>
      </pivotArea>
    </chartFormat>
    <chartFormat chart="8" format="41"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3D2FAC-959D-43CD-BF5B-39D62523F75F}" name="PivotTable12"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7">
  <location ref="F44:H61" firstHeaderRow="1" firstDataRow="1" firstDataCol="0"/>
  <pivotFields count="8">
    <pivotField showAll="0">
      <items count="11">
        <item x="0"/>
        <item x="3"/>
        <item x="7"/>
        <item x="5"/>
        <item x="8"/>
        <item x="4"/>
        <item x="6"/>
        <item x="1"/>
        <item x="9"/>
        <item x="2"/>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formats count="6">
    <format dxfId="21">
      <pivotArea type="all" dataOnly="0" outline="0" fieldPosition="0"/>
    </format>
    <format dxfId="20">
      <pivotArea outline="0" collapsedLevelsAreSubtotals="1" fieldPosition="0"/>
    </format>
    <format dxfId="19">
      <pivotArea field="0" type="button" dataOnly="0" labelOnly="1" outline="0"/>
    </format>
    <format dxfId="18">
      <pivotArea dataOnly="0" labelOnly="1" grandRow="1" outline="0" fieldPosition="0"/>
    </format>
    <format dxfId="17">
      <pivotArea dataOnly="0" labelOnly="1" outline="0" axis="axisValues"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D4C6D-8CCE-467E-9856-FE0BDA47FAE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I8:J16" firstHeaderRow="1" firstDataRow="1" firstDataCol="1"/>
  <pivotFields count="8">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Units Sold" fld="2" baseField="0" baseItem="0" numFmtId="43"/>
  </dataFields>
  <formats count="6">
    <format dxfId="27">
      <pivotArea type="all" dataOnly="0" outline="0"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outline="0" axis="axisValues" fieldPosition="0"/>
    </format>
    <format dxfId="22">
      <pivotArea outline="0" collapsedLevelsAreSubtotals="1" fieldPosition="0"/>
    </format>
  </formats>
  <chartFormats count="10">
    <chartFormat chart="5"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16" format="7">
      <pivotArea type="data" outline="0" fieldPosition="0">
        <references count="2">
          <reference field="4294967294" count="1" selected="0">
            <x v="0"/>
          </reference>
          <reference field="1" count="1" selected="0">
            <x v="2"/>
          </reference>
        </references>
      </pivotArea>
    </chartFormat>
    <chartFormat chart="16" format="8">
      <pivotArea type="data" outline="0" fieldPosition="0">
        <references count="2">
          <reference field="4294967294" count="1" selected="0">
            <x v="0"/>
          </reference>
          <reference field="1" count="1" selected="0">
            <x v="3"/>
          </reference>
        </references>
      </pivotArea>
    </chartFormat>
    <chartFormat chart="16" format="9">
      <pivotArea type="data" outline="0" fieldPosition="0">
        <references count="2">
          <reference field="4294967294" count="1" selected="0">
            <x v="0"/>
          </reference>
          <reference field="1" count="1" selected="0">
            <x v="5"/>
          </reference>
        </references>
      </pivotArea>
    </chartFormat>
    <chartFormat chart="16" format="10">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0E1717-9ED6-4FAA-890C-35BCA61FBAC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E8:G21" firstHeaderRow="0" firstDataRow="1" firstDataCol="1"/>
  <pivotFields count="8">
    <pivotField showAll="0">
      <items count="11">
        <item x="0"/>
        <item x="3"/>
        <item x="7"/>
        <item x="5"/>
        <item x="8"/>
        <item x="4"/>
        <item x="6"/>
        <item x="1"/>
        <item x="9"/>
        <item x="2"/>
        <item t="default"/>
      </items>
    </pivotField>
    <pivotField showAll="0"/>
    <pivotField dataField="1" showAll="0"/>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6">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fieldPosition="0">
        <references count="1">
          <reference field="6" count="12">
            <x v="1"/>
            <x v="2"/>
            <x v="3"/>
            <x v="4"/>
            <x v="5"/>
            <x v="6"/>
            <x v="7"/>
            <x v="8"/>
            <x v="9"/>
            <x v="10"/>
            <x v="11"/>
            <x v="12"/>
          </reference>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s>
  <chartFormats count="2">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0ED6BF-8D50-4EAC-8646-958A7074918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8:C19" firstHeaderRow="1" firstDataRow="1" firstDataCol="1"/>
  <pivotFields count="8">
    <pivotField axis="axisRow" showAll="0">
      <items count="11">
        <item x="0"/>
        <item x="3"/>
        <item x="7"/>
        <item x="5"/>
        <item x="8"/>
        <item x="4"/>
        <item x="6"/>
        <item x="1"/>
        <item x="9"/>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numFmtId="164"/>
  </dataFields>
  <formats count="6">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4"/>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6" format="8">
      <pivotArea type="data" outline="0" fieldPosition="0">
        <references count="2">
          <reference field="4294967294" count="1" selected="0">
            <x v="0"/>
          </reference>
          <reference field="0" count="1" selected="0">
            <x v="6"/>
          </reference>
        </references>
      </pivotArea>
    </chartFormat>
    <chartFormat chart="6" format="9">
      <pivotArea type="data" outline="0" fieldPosition="0">
        <references count="2">
          <reference field="4294967294" count="1" selected="0">
            <x v="0"/>
          </reference>
          <reference field="0" count="1" selected="0">
            <x v="8"/>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A09B3D-3E9F-4E54-A7E6-37B48729F574}" name="PivotTable16"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7">
  <location ref="I44:J48" firstHeaderRow="1" firstDataRow="1" firstDataCol="1"/>
  <pivotFields count="8">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1">
    <field x="7"/>
  </rowFields>
  <rowItems count="4">
    <i>
      <x v="1"/>
    </i>
    <i>
      <x v="2"/>
    </i>
    <i>
      <x v="3"/>
    </i>
    <i t="grand">
      <x/>
    </i>
  </rowItems>
  <colItems count="1">
    <i/>
  </colItems>
  <dataFields count="1">
    <dataField name="Sum of Revenue" fld="3" baseField="0" baseItem="0"/>
  </dataFields>
  <formats count="5">
    <format dxfId="44">
      <pivotArea type="all" dataOnly="0" outline="0" fieldPosition="0"/>
    </format>
    <format dxfId="43">
      <pivotArea outline="0" collapsedLevelsAreSubtotals="1" fieldPosition="0"/>
    </format>
    <format dxfId="42">
      <pivotArea field="0" type="button" dataOnly="0" labelOnly="1" outline="0"/>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BCC751-B54F-4842-8AF0-3EC32638E6BD}"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I20:J24" firstHeaderRow="1" firstDataRow="1" firstDataCol="1"/>
  <pivotFields count="8">
    <pivotField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1">
    <field x="7"/>
  </rowFields>
  <rowItems count="4">
    <i>
      <x v="1"/>
    </i>
    <i>
      <x v="2"/>
    </i>
    <i>
      <x v="3"/>
    </i>
    <i t="grand">
      <x/>
    </i>
  </rowItems>
  <colItems count="1">
    <i/>
  </colItems>
  <dataFields count="1">
    <dataField name="Sum of Profit" fld="5" baseField="0" baseItem="0" numFmtId="164"/>
  </dataFields>
  <formats count="6">
    <format dxfId="50">
      <pivotArea type="all" dataOnly="0" outline="0" fieldPosition="0"/>
    </format>
    <format dxfId="49">
      <pivotArea outline="0" collapsedLevelsAreSubtotals="1" fieldPosition="0"/>
    </format>
    <format dxfId="48">
      <pivotArea field="7" type="button" dataOnly="0" labelOnly="1" outline="0" axis="axisRow" fieldPosition="0"/>
    </format>
    <format dxfId="47">
      <pivotArea dataOnly="0" labelOnly="1" fieldPosition="0">
        <references count="1">
          <reference field="7" count="3">
            <x v="1"/>
            <x v="2"/>
            <x v="3"/>
          </reference>
        </references>
      </pivotArea>
    </format>
    <format dxfId="46">
      <pivotArea dataOnly="0" labelOnly="1" grandRow="1" outline="0" fieldPosition="0"/>
    </format>
    <format dxfId="45">
      <pivotArea dataOnly="0" labelOnly="1" outline="0" axis="axisValues" fieldPosition="0"/>
    </format>
  </formats>
  <chartFormats count="2">
    <chartFormat chart="16"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9D34F2-DFB2-46C8-933E-1200F0EF2E1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44:D55" firstHeaderRow="1" firstDataRow="1" firstDataCol="1"/>
  <pivotFields count="8">
    <pivotField axis="axisRow" showAll="0">
      <items count="11">
        <item x="0"/>
        <item x="3"/>
        <item x="7"/>
        <item x="5"/>
        <item x="8"/>
        <item x="4"/>
        <item x="6"/>
        <item x="1"/>
        <item x="9"/>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numFmtId="164"/>
  </dataFields>
  <formats count="6">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4"/>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6" format="8">
      <pivotArea type="data" outline="0" fieldPosition="0">
        <references count="2">
          <reference field="4294967294" count="1" selected="0">
            <x v="0"/>
          </reference>
          <reference field="0" count="1" selected="0">
            <x v="6"/>
          </reference>
        </references>
      </pivotArea>
    </chartFormat>
    <chartFormat chart="6" format="9">
      <pivotArea type="data" outline="0" fieldPosition="0">
        <references count="2">
          <reference field="4294967294" count="1" selected="0">
            <x v="0"/>
          </reference>
          <reference field="0" count="1" selected="0">
            <x v="8"/>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8C960B1-C4BF-468D-8413-025F103B100F}" sourceName="Country">
  <pivotTables>
    <pivotTable tabId="4" name="PivotTable1"/>
    <pivotTable tabId="4" name="PivotTable11"/>
    <pivotTable tabId="4" name="PivotTable2"/>
    <pivotTable tabId="4" name="PivotTable3"/>
    <pivotTable tabId="4" name="PivotTable4"/>
    <pivotTable tabId="4" name="PivotTable12"/>
    <pivotTable tabId="4" name="PivotTable13"/>
    <pivotTable tabId="4" name="PivotTable16"/>
  </pivotTables>
  <data>
    <tabular pivotCacheId="455791713">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1229BEE-DF0D-4409-ACA2-A95C929B3897}" sourceName="Years">
  <pivotTables>
    <pivotTable tabId="4" name="PivotTable1"/>
    <pivotTable tabId="4" name="PivotTable11"/>
    <pivotTable tabId="4" name="PivotTable2"/>
    <pivotTable tabId="4" name="PivotTable3"/>
    <pivotTable tabId="4" name="PivotTable4"/>
    <pivotTable tabId="4" name="PivotTable12"/>
    <pivotTable tabId="4" name="PivotTable13"/>
    <pivotTable tabId="4" name="PivotTable16"/>
  </pivotTables>
  <data>
    <tabular pivotCacheId="45579171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C0D6488C-0ECF-465E-84A5-8E5CFC3ABEB1}" cache="Slicer_Country" caption="Country" style="SlicerStyleDark1" rowHeight="241300"/>
  <slicer name="Years 2" xr10:uid="{56B0854A-6822-43F1-B030-804A4D466B63}" cache="Slicer_Years" caption="Year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78D61D-F682-4F79-890F-64EA96AB5FD7}" name="Table1" displayName="Table1" ref="A1:G701" totalsRowShown="0">
  <autoFilter ref="A1:G701" xr:uid="{F378D61D-F682-4F79-890F-64EA96AB5FD7}"/>
  <tableColumns count="7">
    <tableColumn id="1" xr3:uid="{48020625-0853-4788-A7A3-CFC544EB7331}" name="Country"/>
    <tableColumn id="2" xr3:uid="{CE555828-7035-411A-82C0-20E8F0BF50E7}" name="Product"/>
    <tableColumn id="3" xr3:uid="{5798A561-E1E3-4911-8A48-D307AFC6DDD0}" name="Units Sold"/>
    <tableColumn id="4" xr3:uid="{74A29937-0605-460C-AD55-36D92A8D39B3}" name="Revenue"/>
    <tableColumn id="5" xr3:uid="{8CE65BA0-1A9A-4A39-A577-5BAE021F8198}" name="Cost"/>
    <tableColumn id="6" xr3:uid="{51377585-DDEA-410A-A527-9AFEB51C7623}" name="Profit"/>
    <tableColumn id="7" xr3:uid="{798DF97E-6CE7-4006-8F2C-E0DA50E76E80}" name="Date" dataDxfId="57"/>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701"/>
  <sheetViews>
    <sheetView topLeftCell="C1" zoomScale="145"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t="s">
        <v>0</v>
      </c>
      <c r="B1" t="s">
        <v>1</v>
      </c>
      <c r="C1" t="s">
        <v>2</v>
      </c>
      <c r="D1" s="4"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F7EE-2D17-45E6-B0EA-3AAA534BB895}">
  <sheetPr>
    <tabColor rgb="FF7030A0"/>
  </sheetPr>
  <dimension ref="B2:Q61"/>
  <sheetViews>
    <sheetView tabSelected="1" workbookViewId="0">
      <selection activeCell="K49" sqref="K49"/>
    </sheetView>
  </sheetViews>
  <sheetFormatPr defaultRowHeight="14.25" x14ac:dyDescent="0.2"/>
  <cols>
    <col min="1" max="1" width="11.75" style="6" bestFit="1" customWidth="1"/>
    <col min="2" max="2" width="13" style="6" bestFit="1" customWidth="1"/>
    <col min="3" max="3" width="15.625" style="6" bestFit="1" customWidth="1"/>
    <col min="4" max="4" width="17.5" style="6" customWidth="1"/>
    <col min="5" max="5" width="14.375" style="6" bestFit="1" customWidth="1"/>
    <col min="6" max="6" width="19.25" style="6" bestFit="1" customWidth="1"/>
    <col min="7" max="7" width="17.875" style="6" bestFit="1" customWidth="1"/>
    <col min="8" max="9" width="15.625" style="6" bestFit="1" customWidth="1"/>
    <col min="10" max="10" width="16.625" style="6" bestFit="1" customWidth="1"/>
    <col min="11" max="11" width="19.375" style="6" bestFit="1" customWidth="1"/>
    <col min="12" max="12" width="11.875" style="6" bestFit="1" customWidth="1"/>
    <col min="13" max="13" width="15.625" style="6" bestFit="1" customWidth="1"/>
    <col min="14" max="14" width="16.25" style="6" bestFit="1" customWidth="1"/>
    <col min="15" max="15" width="11.375" style="6" bestFit="1" customWidth="1"/>
    <col min="16" max="17" width="16.625" style="6" bestFit="1" customWidth="1"/>
    <col min="18" max="16384" width="9" style="6"/>
  </cols>
  <sheetData>
    <row r="2" spans="2:17" x14ac:dyDescent="0.2">
      <c r="C2" s="20" t="s">
        <v>53</v>
      </c>
      <c r="D2" s="21"/>
      <c r="E2" s="21"/>
      <c r="F2" s="21"/>
      <c r="G2" s="21"/>
      <c r="H2" s="6">
        <f>'Pivot Table'!D5-'Pivot Table'!F5</f>
        <v>2099369250</v>
      </c>
      <c r="I2" s="13">
        <f>H2/D5</f>
        <v>0.20094394787762695</v>
      </c>
    </row>
    <row r="3" spans="2:17" x14ac:dyDescent="0.2">
      <c r="C3" s="21"/>
      <c r="D3" s="21"/>
      <c r="E3" s="21"/>
      <c r="F3" s="21"/>
      <c r="G3" s="21"/>
    </row>
    <row r="5" spans="2:17" ht="18.75" x14ac:dyDescent="0.3">
      <c r="B5" s="9"/>
      <c r="C5" s="9" t="s">
        <v>51</v>
      </c>
      <c r="D5" s="9">
        <f>SUM(Table1[Revenue])</f>
        <v>10447536600</v>
      </c>
      <c r="E5" s="9" t="s">
        <v>49</v>
      </c>
      <c r="F5" s="9">
        <f>SUM(Table1[Cost])</f>
        <v>8348167350</v>
      </c>
      <c r="G5" s="9" t="s">
        <v>50</v>
      </c>
      <c r="H5" s="12">
        <f>SUM(Table1[Units Sold])</f>
        <v>1017885</v>
      </c>
      <c r="I5" s="9" t="s">
        <v>52</v>
      </c>
      <c r="J5" s="14">
        <f>ROUND(I2,2)</f>
        <v>0.2</v>
      </c>
    </row>
    <row r="7" spans="2:17" x14ac:dyDescent="0.2">
      <c r="B7" s="22" t="s">
        <v>40</v>
      </c>
      <c r="C7" s="22"/>
      <c r="E7" s="22" t="s">
        <v>48</v>
      </c>
      <c r="F7" s="22"/>
      <c r="I7" s="22" t="s">
        <v>47</v>
      </c>
      <c r="J7" s="22"/>
    </row>
    <row r="8" spans="2:17" x14ac:dyDescent="0.2">
      <c r="B8" s="7" t="s">
        <v>25</v>
      </c>
      <c r="C8" s="6" t="s">
        <v>26</v>
      </c>
      <c r="E8" s="7" t="s">
        <v>25</v>
      </c>
      <c r="F8" s="6" t="s">
        <v>27</v>
      </c>
      <c r="G8" s="6" t="s">
        <v>46</v>
      </c>
      <c r="I8" s="7" t="s">
        <v>25</v>
      </c>
      <c r="J8" s="6" t="s">
        <v>46</v>
      </c>
    </row>
    <row r="9" spans="2:17" x14ac:dyDescent="0.2">
      <c r="B9" s="8" t="s">
        <v>7</v>
      </c>
      <c r="C9" s="6">
        <v>237371300</v>
      </c>
      <c r="E9" s="8" t="s">
        <v>28</v>
      </c>
      <c r="F9" s="6">
        <v>818865100</v>
      </c>
      <c r="G9" s="6">
        <v>75352</v>
      </c>
      <c r="I9" s="8" t="s">
        <v>12</v>
      </c>
      <c r="J9" s="19">
        <v>129679</v>
      </c>
    </row>
    <row r="10" spans="2:17" x14ac:dyDescent="0.2">
      <c r="B10" s="8" t="s">
        <v>13</v>
      </c>
      <c r="C10" s="6">
        <v>181420300</v>
      </c>
      <c r="E10" s="8" t="s">
        <v>29</v>
      </c>
      <c r="F10" s="6">
        <v>1102362600</v>
      </c>
      <c r="G10" s="6">
        <v>109118</v>
      </c>
      <c r="I10" s="8" t="s">
        <v>23</v>
      </c>
      <c r="J10" s="19">
        <v>139842</v>
      </c>
    </row>
    <row r="11" spans="2:17" x14ac:dyDescent="0.2">
      <c r="B11" s="8" t="s">
        <v>20</v>
      </c>
      <c r="C11" s="6">
        <v>194985300</v>
      </c>
      <c r="E11" s="8" t="s">
        <v>30</v>
      </c>
      <c r="F11" s="6">
        <v>701796300</v>
      </c>
      <c r="G11" s="6">
        <v>66544</v>
      </c>
      <c r="I11" s="8" t="s">
        <v>10</v>
      </c>
      <c r="J11" s="19">
        <v>156348</v>
      </c>
    </row>
    <row r="12" spans="2:17" x14ac:dyDescent="0.2">
      <c r="B12" s="8" t="s">
        <v>16</v>
      </c>
      <c r="C12" s="6">
        <v>229987650</v>
      </c>
      <c r="E12" s="8" t="s">
        <v>31</v>
      </c>
      <c r="F12" s="6">
        <v>783042700</v>
      </c>
      <c r="G12" s="6">
        <v>81532</v>
      </c>
      <c r="I12" s="8" t="s">
        <v>14</v>
      </c>
      <c r="J12" s="19">
        <v>155359</v>
      </c>
    </row>
    <row r="13" spans="2:17" x14ac:dyDescent="0.2">
      <c r="B13" s="8" t="s">
        <v>21</v>
      </c>
      <c r="C13" s="6">
        <v>302613800</v>
      </c>
      <c r="E13" s="8" t="s">
        <v>32</v>
      </c>
      <c r="F13" s="6">
        <v>870795900</v>
      </c>
      <c r="G13" s="6">
        <v>103127</v>
      </c>
      <c r="I13" s="8" t="s">
        <v>8</v>
      </c>
      <c r="J13" s="19">
        <v>148936</v>
      </c>
    </row>
    <row r="14" spans="2:17" x14ac:dyDescent="0.2">
      <c r="B14" s="8" t="s">
        <v>15</v>
      </c>
      <c r="C14" s="6">
        <v>225940050</v>
      </c>
      <c r="E14" s="8" t="s">
        <v>33</v>
      </c>
      <c r="F14" s="6">
        <v>678606700</v>
      </c>
      <c r="G14" s="6">
        <v>82278</v>
      </c>
      <c r="I14" s="8" t="s">
        <v>17</v>
      </c>
      <c r="J14" s="19">
        <v>151173</v>
      </c>
      <c r="N14"/>
      <c r="O14"/>
      <c r="P14"/>
      <c r="Q14"/>
    </row>
    <row r="15" spans="2:17" x14ac:dyDescent="0.2">
      <c r="B15" s="8" t="s">
        <v>18</v>
      </c>
      <c r="C15" s="6">
        <v>147821550</v>
      </c>
      <c r="E15" s="8" t="s">
        <v>34</v>
      </c>
      <c r="F15" s="6">
        <v>913035400</v>
      </c>
      <c r="G15" s="6">
        <v>77982</v>
      </c>
      <c r="I15" s="8" t="s">
        <v>19</v>
      </c>
      <c r="J15" s="19">
        <v>136548</v>
      </c>
      <c r="N15"/>
      <c r="O15"/>
      <c r="P15"/>
      <c r="Q15"/>
    </row>
    <row r="16" spans="2:17" x14ac:dyDescent="0.2">
      <c r="B16" s="8" t="s">
        <v>9</v>
      </c>
      <c r="C16" s="6">
        <v>164997350</v>
      </c>
      <c r="E16" s="8" t="s">
        <v>35</v>
      </c>
      <c r="F16" s="6">
        <v>1251126800</v>
      </c>
      <c r="G16" s="6">
        <v>102733</v>
      </c>
      <c r="I16" s="8" t="s">
        <v>24</v>
      </c>
      <c r="J16" s="19">
        <v>1017885</v>
      </c>
      <c r="N16"/>
      <c r="O16"/>
      <c r="P16"/>
      <c r="Q16"/>
    </row>
    <row r="17" spans="2:17" x14ac:dyDescent="0.2">
      <c r="B17" s="8" t="s">
        <v>22</v>
      </c>
      <c r="C17" s="6">
        <v>237119250</v>
      </c>
      <c r="E17" s="8" t="s">
        <v>36</v>
      </c>
      <c r="F17" s="6">
        <v>1060185700</v>
      </c>
      <c r="G17" s="6">
        <v>89257</v>
      </c>
      <c r="N17"/>
      <c r="O17"/>
      <c r="P17"/>
      <c r="Q17"/>
    </row>
    <row r="18" spans="2:17" x14ac:dyDescent="0.2">
      <c r="B18" s="8" t="s">
        <v>11</v>
      </c>
      <c r="C18" s="6">
        <v>177112700</v>
      </c>
      <c r="E18" s="8" t="s">
        <v>37</v>
      </c>
      <c r="F18" s="6">
        <v>867619100</v>
      </c>
      <c r="G18" s="6">
        <v>87213</v>
      </c>
      <c r="N18"/>
      <c r="O18"/>
      <c r="P18"/>
      <c r="Q18"/>
    </row>
    <row r="19" spans="2:17" x14ac:dyDescent="0.2">
      <c r="B19" s="8" t="s">
        <v>24</v>
      </c>
      <c r="C19" s="6">
        <v>2099369250</v>
      </c>
      <c r="E19" s="8" t="s">
        <v>38</v>
      </c>
      <c r="F19" s="6">
        <v>723897600</v>
      </c>
      <c r="G19" s="6">
        <v>60503</v>
      </c>
      <c r="I19" s="22" t="s">
        <v>56</v>
      </c>
      <c r="J19" s="22"/>
      <c r="N19"/>
      <c r="O19"/>
      <c r="P19"/>
      <c r="Q19"/>
    </row>
    <row r="20" spans="2:17" x14ac:dyDescent="0.2">
      <c r="E20" s="8" t="s">
        <v>39</v>
      </c>
      <c r="F20" s="6">
        <v>676202700</v>
      </c>
      <c r="G20" s="6">
        <v>82246</v>
      </c>
      <c r="I20" s="7" t="s">
        <v>25</v>
      </c>
      <c r="J20" s="6" t="s">
        <v>26</v>
      </c>
    </row>
    <row r="21" spans="2:17" x14ac:dyDescent="0.2">
      <c r="E21" s="8" t="s">
        <v>24</v>
      </c>
      <c r="F21" s="6">
        <v>10447536600</v>
      </c>
      <c r="G21" s="6">
        <v>1017885</v>
      </c>
      <c r="I21" s="8" t="s">
        <v>41</v>
      </c>
      <c r="J21" s="6">
        <v>628619850</v>
      </c>
    </row>
    <row r="22" spans="2:17" x14ac:dyDescent="0.2">
      <c r="I22" s="8" t="s">
        <v>42</v>
      </c>
      <c r="J22" s="6">
        <v>762622950</v>
      </c>
    </row>
    <row r="23" spans="2:17" x14ac:dyDescent="0.2">
      <c r="I23" s="8" t="s">
        <v>43</v>
      </c>
      <c r="J23" s="6">
        <v>708126450</v>
      </c>
      <c r="L23"/>
    </row>
    <row r="24" spans="2:17" x14ac:dyDescent="0.2">
      <c r="I24" s="8" t="s">
        <v>24</v>
      </c>
      <c r="J24" s="6">
        <v>2099369250</v>
      </c>
      <c r="L24"/>
    </row>
    <row r="25" spans="2:17" x14ac:dyDescent="0.2">
      <c r="L25"/>
    </row>
    <row r="26" spans="2:17" x14ac:dyDescent="0.2">
      <c r="E26" s="10" t="s">
        <v>44</v>
      </c>
      <c r="F26" s="11"/>
      <c r="L26"/>
    </row>
    <row r="27" spans="2:17" x14ac:dyDescent="0.2">
      <c r="B27" s="7" t="s">
        <v>27</v>
      </c>
      <c r="C27" s="7" t="s">
        <v>45</v>
      </c>
    </row>
    <row r="28" spans="2:17" x14ac:dyDescent="0.2">
      <c r="B28" s="7" t="s">
        <v>0</v>
      </c>
      <c r="C28" s="6" t="s">
        <v>12</v>
      </c>
      <c r="D28" s="6" t="s">
        <v>23</v>
      </c>
      <c r="E28" s="6" t="s">
        <v>10</v>
      </c>
      <c r="F28" s="6" t="s">
        <v>14</v>
      </c>
      <c r="G28" s="6" t="s">
        <v>8</v>
      </c>
      <c r="H28" s="6" t="s">
        <v>17</v>
      </c>
      <c r="I28" s="6" t="s">
        <v>19</v>
      </c>
      <c r="J28" s="6" t="s">
        <v>24</v>
      </c>
      <c r="M28"/>
      <c r="N28"/>
      <c r="O28"/>
      <c r="P28"/>
    </row>
    <row r="29" spans="2:17" x14ac:dyDescent="0.2">
      <c r="B29" s="8" t="s">
        <v>21</v>
      </c>
      <c r="C29" s="6">
        <v>14263200</v>
      </c>
      <c r="D29" s="6">
        <v>109030000</v>
      </c>
      <c r="E29" s="6">
        <v>73671500</v>
      </c>
      <c r="F29" s="6">
        <v>15583200</v>
      </c>
      <c r="G29" s="6">
        <v>56796000</v>
      </c>
      <c r="H29" s="6">
        <v>213105000</v>
      </c>
      <c r="I29" s="6">
        <v>1139940000</v>
      </c>
      <c r="J29" s="6">
        <v>1622388900</v>
      </c>
      <c r="M29"/>
      <c r="N29"/>
      <c r="O29"/>
      <c r="P29"/>
    </row>
    <row r="30" spans="2:17" x14ac:dyDescent="0.2">
      <c r="B30" s="8" t="s">
        <v>22</v>
      </c>
      <c r="C30" s="6">
        <v>19258800</v>
      </c>
      <c r="D30" s="6">
        <v>59685000</v>
      </c>
      <c r="E30" s="6">
        <v>29214500</v>
      </c>
      <c r="F30" s="6">
        <v>18895200</v>
      </c>
      <c r="G30" s="6">
        <v>33462000</v>
      </c>
      <c r="H30" s="6">
        <v>220905000</v>
      </c>
      <c r="I30" s="6">
        <v>873315000</v>
      </c>
      <c r="J30" s="6">
        <v>1254735500</v>
      </c>
      <c r="M30"/>
      <c r="N30"/>
      <c r="O30"/>
      <c r="P30"/>
    </row>
    <row r="31" spans="2:17" x14ac:dyDescent="0.2">
      <c r="B31" s="8" t="s">
        <v>7</v>
      </c>
      <c r="C31" s="6">
        <v>13351200</v>
      </c>
      <c r="D31" s="6">
        <v>60560000</v>
      </c>
      <c r="E31" s="6">
        <v>50246000</v>
      </c>
      <c r="F31" s="6">
        <v>28514400</v>
      </c>
      <c r="G31" s="6">
        <v>62856000</v>
      </c>
      <c r="H31" s="6">
        <v>260670000</v>
      </c>
      <c r="I31" s="6">
        <v>685980000</v>
      </c>
      <c r="J31" s="6">
        <v>1162177600</v>
      </c>
      <c r="M31"/>
      <c r="N31"/>
      <c r="O31"/>
      <c r="P31"/>
    </row>
    <row r="32" spans="2:17" x14ac:dyDescent="0.2">
      <c r="B32" s="8" t="s">
        <v>16</v>
      </c>
      <c r="C32" s="6">
        <v>21872400</v>
      </c>
      <c r="D32" s="6">
        <v>53935000</v>
      </c>
      <c r="E32" s="6">
        <v>67459000</v>
      </c>
      <c r="F32" s="6">
        <v>27420000</v>
      </c>
      <c r="G32" s="6">
        <v>29760000</v>
      </c>
      <c r="H32" s="6">
        <v>267825000</v>
      </c>
      <c r="I32" s="6">
        <v>676080000</v>
      </c>
      <c r="J32" s="6">
        <v>1144351400</v>
      </c>
      <c r="M32"/>
      <c r="N32"/>
      <c r="O32"/>
      <c r="P32"/>
    </row>
    <row r="33" spans="2:16" x14ac:dyDescent="0.2">
      <c r="B33" s="8" t="s">
        <v>15</v>
      </c>
      <c r="C33" s="6">
        <v>14569200</v>
      </c>
      <c r="D33" s="6">
        <v>77640000</v>
      </c>
      <c r="E33" s="6">
        <v>36669500</v>
      </c>
      <c r="F33" s="6">
        <v>22833600</v>
      </c>
      <c r="G33" s="6">
        <v>62157000</v>
      </c>
      <c r="H33" s="6">
        <v>278520000</v>
      </c>
      <c r="I33" s="6">
        <v>598455000</v>
      </c>
      <c r="J33" s="6">
        <v>1090844300</v>
      </c>
      <c r="M33"/>
      <c r="N33"/>
      <c r="O33"/>
      <c r="P33"/>
    </row>
    <row r="34" spans="2:16" x14ac:dyDescent="0.2">
      <c r="B34" s="8" t="s">
        <v>20</v>
      </c>
      <c r="C34" s="6">
        <v>12295200</v>
      </c>
      <c r="D34" s="6">
        <v>68155000</v>
      </c>
      <c r="E34" s="6">
        <v>45192000</v>
      </c>
      <c r="F34" s="6">
        <v>11035200</v>
      </c>
      <c r="G34" s="6">
        <v>16908000</v>
      </c>
      <c r="H34" s="6">
        <v>282270000</v>
      </c>
      <c r="I34" s="6">
        <v>534600000</v>
      </c>
      <c r="J34" s="6">
        <v>970455400</v>
      </c>
      <c r="M34"/>
      <c r="N34"/>
      <c r="O34"/>
      <c r="P34"/>
    </row>
    <row r="35" spans="2:16" x14ac:dyDescent="0.2">
      <c r="B35" s="8" t="s">
        <v>11</v>
      </c>
      <c r="C35" s="6">
        <v>11834400</v>
      </c>
      <c r="D35" s="6">
        <v>43245000</v>
      </c>
      <c r="E35" s="6">
        <v>79653000</v>
      </c>
      <c r="F35" s="6">
        <v>9904800</v>
      </c>
      <c r="G35" s="6">
        <v>43950000</v>
      </c>
      <c r="H35" s="6">
        <v>152700000</v>
      </c>
      <c r="I35" s="6">
        <v>544230000</v>
      </c>
      <c r="J35" s="6">
        <v>885517200</v>
      </c>
      <c r="M35"/>
      <c r="N35"/>
      <c r="O35"/>
      <c r="P35"/>
    </row>
    <row r="36" spans="2:16" x14ac:dyDescent="0.2">
      <c r="B36" s="8" t="s">
        <v>13</v>
      </c>
      <c r="C36" s="6">
        <v>24312000</v>
      </c>
      <c r="D36" s="6">
        <v>71865000</v>
      </c>
      <c r="E36" s="6">
        <v>71354500</v>
      </c>
      <c r="F36" s="6">
        <v>28027200</v>
      </c>
      <c r="G36" s="6">
        <v>47823000</v>
      </c>
      <c r="H36" s="6">
        <v>164850000</v>
      </c>
      <c r="I36" s="6">
        <v>463185000</v>
      </c>
      <c r="J36" s="6">
        <v>871416700</v>
      </c>
      <c r="M36"/>
      <c r="N36"/>
      <c r="O36"/>
      <c r="P36"/>
    </row>
    <row r="37" spans="2:16" x14ac:dyDescent="0.2">
      <c r="B37" s="8" t="s">
        <v>9</v>
      </c>
      <c r="C37" s="6">
        <v>15474000</v>
      </c>
      <c r="D37" s="6">
        <v>69645000</v>
      </c>
      <c r="E37" s="6">
        <v>43991500</v>
      </c>
      <c r="F37" s="6">
        <v>10402800</v>
      </c>
      <c r="G37" s="6">
        <v>48453000</v>
      </c>
      <c r="H37" s="6">
        <v>209115000</v>
      </c>
      <c r="I37" s="6">
        <v>381960000</v>
      </c>
      <c r="J37" s="6">
        <v>779041300</v>
      </c>
      <c r="M37"/>
      <c r="N37"/>
      <c r="O37"/>
      <c r="P37"/>
    </row>
    <row r="38" spans="2:16" x14ac:dyDescent="0.2">
      <c r="B38" s="8" t="s">
        <v>18</v>
      </c>
      <c r="C38" s="6">
        <v>8384400</v>
      </c>
      <c r="D38" s="6">
        <v>85450000</v>
      </c>
      <c r="E38" s="6">
        <v>49766500</v>
      </c>
      <c r="F38" s="6">
        <v>13814400</v>
      </c>
      <c r="G38" s="6">
        <v>44643000</v>
      </c>
      <c r="H38" s="6">
        <v>217635000</v>
      </c>
      <c r="I38" s="6">
        <v>246915000</v>
      </c>
      <c r="J38" s="6">
        <v>666608300</v>
      </c>
      <c r="M38"/>
      <c r="N38"/>
      <c r="O38"/>
      <c r="P38"/>
    </row>
    <row r="39" spans="2:16" x14ac:dyDescent="0.2">
      <c r="B39" s="8" t="s">
        <v>24</v>
      </c>
      <c r="C39" s="6">
        <v>155614800</v>
      </c>
      <c r="D39" s="6">
        <v>699210000</v>
      </c>
      <c r="E39" s="6">
        <v>547218000</v>
      </c>
      <c r="F39" s="6">
        <v>186430800</v>
      </c>
      <c r="G39" s="6">
        <v>446808000</v>
      </c>
      <c r="H39" s="6">
        <v>2267595000</v>
      </c>
      <c r="I39" s="6">
        <v>6144660000</v>
      </c>
      <c r="J39" s="6">
        <v>10447536600</v>
      </c>
      <c r="M39"/>
      <c r="N39"/>
      <c r="O39"/>
      <c r="P39"/>
    </row>
    <row r="40" spans="2:16" x14ac:dyDescent="0.2">
      <c r="M40"/>
      <c r="N40"/>
      <c r="O40"/>
      <c r="P40"/>
    </row>
    <row r="41" spans="2:16" x14ac:dyDescent="0.2">
      <c r="M41"/>
      <c r="N41"/>
      <c r="O41"/>
      <c r="P41"/>
    </row>
    <row r="42" spans="2:16" x14ac:dyDescent="0.2">
      <c r="O42"/>
      <c r="P42"/>
    </row>
    <row r="43" spans="2:16" x14ac:dyDescent="0.2">
      <c r="C43" s="22" t="s">
        <v>40</v>
      </c>
      <c r="D43" s="22"/>
      <c r="F43" s="18"/>
      <c r="G43" s="18"/>
      <c r="I43" s="17" t="s">
        <v>54</v>
      </c>
      <c r="J43" s="17"/>
      <c r="O43"/>
      <c r="P43"/>
    </row>
    <row r="44" spans="2:16" x14ac:dyDescent="0.2">
      <c r="C44" s="7" t="s">
        <v>25</v>
      </c>
      <c r="D44" s="6" t="s">
        <v>26</v>
      </c>
      <c r="F44" s="23"/>
      <c r="G44" s="24"/>
      <c r="H44" s="25"/>
      <c r="J44" s="6" t="s">
        <v>27</v>
      </c>
      <c r="K44"/>
      <c r="O44"/>
      <c r="P44"/>
    </row>
    <row r="45" spans="2:16" x14ac:dyDescent="0.2">
      <c r="C45" s="8" t="s">
        <v>7</v>
      </c>
      <c r="D45" s="6">
        <v>237371300</v>
      </c>
      <c r="F45" s="26"/>
      <c r="G45" s="27"/>
      <c r="H45" s="28"/>
      <c r="I45" s="8" t="s">
        <v>41</v>
      </c>
      <c r="J45" s="6">
        <v>3129927800</v>
      </c>
      <c r="K45"/>
      <c r="O45"/>
      <c r="P45"/>
    </row>
    <row r="46" spans="2:16" x14ac:dyDescent="0.2">
      <c r="C46" s="8" t="s">
        <v>13</v>
      </c>
      <c r="D46" s="6">
        <v>181420300</v>
      </c>
      <c r="F46" s="26"/>
      <c r="G46" s="27"/>
      <c r="H46" s="28"/>
      <c r="I46" s="8" t="s">
        <v>42</v>
      </c>
      <c r="J46" s="6">
        <v>3847142200</v>
      </c>
      <c r="K46"/>
      <c r="O46"/>
      <c r="P46"/>
    </row>
    <row r="47" spans="2:16" x14ac:dyDescent="0.2">
      <c r="C47" s="8" t="s">
        <v>20</v>
      </c>
      <c r="D47" s="6">
        <v>194985300</v>
      </c>
      <c r="F47" s="26"/>
      <c r="G47" s="27"/>
      <c r="H47" s="28"/>
      <c r="I47" s="8" t="s">
        <v>43</v>
      </c>
      <c r="J47" s="6">
        <v>3470466600</v>
      </c>
      <c r="K47"/>
      <c r="O47"/>
      <c r="P47"/>
    </row>
    <row r="48" spans="2:16" x14ac:dyDescent="0.2">
      <c r="C48" s="8" t="s">
        <v>16</v>
      </c>
      <c r="D48" s="6">
        <v>229987650</v>
      </c>
      <c r="F48" s="26"/>
      <c r="G48" s="27"/>
      <c r="H48" s="28"/>
      <c r="I48" s="8" t="s">
        <v>24</v>
      </c>
      <c r="J48" s="6">
        <v>10447536600</v>
      </c>
      <c r="K48"/>
      <c r="O48"/>
      <c r="P48"/>
    </row>
    <row r="49" spans="3:16" x14ac:dyDescent="0.2">
      <c r="C49" s="8" t="s">
        <v>21</v>
      </c>
      <c r="D49" s="6">
        <v>302613800</v>
      </c>
      <c r="F49" s="26"/>
      <c r="G49" s="27"/>
      <c r="H49" s="28"/>
      <c r="I49" s="15" t="s">
        <v>54</v>
      </c>
      <c r="J49" s="16"/>
      <c r="K49" s="16" t="str">
        <f>INDEX(I45:I47,MATCH(MAX(J45:J47),J45:J47,0))</f>
        <v>2025</v>
      </c>
      <c r="O49"/>
      <c r="P49"/>
    </row>
    <row r="50" spans="3:16" x14ac:dyDescent="0.2">
      <c r="C50" s="8" t="s">
        <v>15</v>
      </c>
      <c r="D50" s="6">
        <v>225940050</v>
      </c>
      <c r="F50" s="26"/>
      <c r="G50" s="27"/>
      <c r="H50" s="28"/>
    </row>
    <row r="51" spans="3:16" x14ac:dyDescent="0.2">
      <c r="C51" s="8" t="s">
        <v>18</v>
      </c>
      <c r="D51" s="6">
        <v>147821550</v>
      </c>
      <c r="F51" s="26"/>
      <c r="G51" s="27"/>
      <c r="H51" s="28"/>
    </row>
    <row r="52" spans="3:16" x14ac:dyDescent="0.2">
      <c r="C52" s="8" t="s">
        <v>9</v>
      </c>
      <c r="D52" s="6">
        <v>164997350</v>
      </c>
      <c r="F52" s="26"/>
      <c r="G52" s="27"/>
      <c r="H52" s="28"/>
    </row>
    <row r="53" spans="3:16" x14ac:dyDescent="0.2">
      <c r="C53" s="8" t="s">
        <v>22</v>
      </c>
      <c r="D53" s="6">
        <v>237119250</v>
      </c>
      <c r="F53" s="26"/>
      <c r="G53" s="27"/>
      <c r="H53" s="28"/>
    </row>
    <row r="54" spans="3:16" x14ac:dyDescent="0.2">
      <c r="C54" s="8" t="s">
        <v>11</v>
      </c>
      <c r="D54" s="6">
        <v>177112700</v>
      </c>
      <c r="F54" s="26"/>
      <c r="G54" s="27"/>
      <c r="H54" s="28"/>
    </row>
    <row r="55" spans="3:16" x14ac:dyDescent="0.2">
      <c r="C55" s="8" t="s">
        <v>24</v>
      </c>
      <c r="D55" s="6">
        <v>2099369250</v>
      </c>
      <c r="F55" s="26"/>
      <c r="G55" s="27"/>
      <c r="H55" s="28"/>
    </row>
    <row r="56" spans="3:16" x14ac:dyDescent="0.2">
      <c r="F56" s="26"/>
      <c r="G56" s="27"/>
      <c r="H56" s="28"/>
    </row>
    <row r="57" spans="3:16" x14ac:dyDescent="0.2">
      <c r="C57" s="6" t="s">
        <v>55</v>
      </c>
      <c r="E57" s="6" t="str">
        <f>C49</f>
        <v>Nigeria</v>
      </c>
      <c r="F57" s="26"/>
      <c r="G57" s="27"/>
      <c r="H57" s="28"/>
    </row>
    <row r="58" spans="3:16" x14ac:dyDescent="0.2">
      <c r="F58" s="26"/>
      <c r="G58" s="27"/>
      <c r="H58" s="28"/>
    </row>
    <row r="59" spans="3:16" x14ac:dyDescent="0.2">
      <c r="F59" s="26"/>
      <c r="G59" s="27"/>
      <c r="H59" s="28"/>
    </row>
    <row r="60" spans="3:16" x14ac:dyDescent="0.2">
      <c r="F60" s="26"/>
      <c r="G60" s="27"/>
      <c r="H60" s="28"/>
    </row>
    <row r="61" spans="3:16" x14ac:dyDescent="0.2">
      <c r="F61" s="29"/>
      <c r="G61" s="30"/>
      <c r="H61" s="31"/>
    </row>
  </sheetData>
  <mergeCells count="6">
    <mergeCell ref="C2:G3"/>
    <mergeCell ref="C43:D43"/>
    <mergeCell ref="B7:C7"/>
    <mergeCell ref="E7:F7"/>
    <mergeCell ref="I7:J7"/>
    <mergeCell ref="I19:J19"/>
  </mergeCells>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5394-AB02-4130-8E50-A27B694D80EE}">
  <dimension ref="A1"/>
  <sheetViews>
    <sheetView showGridLines="0" topLeftCell="A10" zoomScale="90" zoomScaleNormal="90" workbookViewId="0">
      <selection activeCell="P65" sqref="P65"/>
    </sheetView>
  </sheetViews>
  <sheetFormatPr defaultRowHeight="14.25" x14ac:dyDescent="0.2"/>
  <cols>
    <col min="1" max="16384" width="9" style="5"/>
  </cols>
  <sheetData/>
  <conditionalFormatting sqref="V6">
    <cfRule type="iconSet" priority="1">
      <iconSet iconSet="3Arrows">
        <cfvo type="percent" val="0"/>
        <cfvo type="percent" val="33"/>
        <cfvo type="percent" val="67"/>
      </iconSet>
    </cfRule>
  </conditionalFormatting>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A8CF9-C68C-4E1C-A76A-79C9D798FCCE}">
  <sheetPr>
    <tabColor rgb="FF92D050"/>
  </sheetPr>
  <dimension ref="A1"/>
  <sheetViews>
    <sheetView showGridLines="0" topLeftCell="A19" workbookViewId="0">
      <selection activeCell="F39" sqref="F39"/>
    </sheetView>
  </sheetViews>
  <sheetFormatPr defaultRowHeight="14.25"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G526"/>
  <sheetViews>
    <sheetView topLeftCell="A515" zoomScale="172" workbookViewId="0">
      <selection activeCell="A523" sqref="A523"/>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vt:lpstr>
      <vt:lpstr>Dashboard</vt:lpstr>
      <vt:lpstr>Take-Away</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UNIK</cp:lastModifiedBy>
  <cp:lastPrinted>2026-10-01T18:24:34Z</cp:lastPrinted>
  <dcterms:created xsi:type="dcterms:W3CDTF">2026-01-17T08:53:53Z</dcterms:created>
  <dcterms:modified xsi:type="dcterms:W3CDTF">2026-10-02T20:01:31Z</dcterms:modified>
</cp:coreProperties>
</file>